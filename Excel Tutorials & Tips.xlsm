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3020"/>
  </bookViews>
  <sheets>
    <sheet name="Home" sheetId="9" r:id="rId1"/>
    <sheet name="General" sheetId="12" r:id="rId2"/>
    <sheet name="Graphs" sheetId="14" r:id="rId3"/>
    <sheet name="If" sheetId="2" r:id="rId4"/>
    <sheet name="Max &amp; Min" sheetId="5" r:id="rId5"/>
    <sheet name="Count" sheetId="6" r:id="rId6"/>
    <sheet name="Sum" sheetId="7" r:id="rId7"/>
    <sheet name="The $ symbol" sheetId="8" r:id="rId8"/>
    <sheet name="Indirect" sheetId="10" r:id="rId9"/>
    <sheet name="Vlookup" sheetId="11" r:id="rId10"/>
    <sheet name="Macros" sheetId="13" r:id="rId11"/>
  </sheets>
  <definedNames>
    <definedName name="NamedCell">Indirect!$C$21</definedName>
    <definedName name="SomeName">General!$B$2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5" i="6" l="1"/>
  <c r="D35" i="6"/>
  <c r="F21" i="5"/>
  <c r="L52" i="2"/>
  <c r="G17" i="2"/>
  <c r="G12" i="2"/>
  <c r="J31" i="11" l="1"/>
  <c r="J64" i="7"/>
  <c r="J57" i="7"/>
  <c r="J55" i="7"/>
  <c r="B142" i="12" l="1"/>
  <c r="B143" i="12"/>
  <c r="B144" i="12"/>
  <c r="B145" i="12"/>
  <c r="B146" i="12"/>
  <c r="B147" i="12"/>
  <c r="B141" i="12"/>
  <c r="H26" i="2"/>
  <c r="G13" i="2"/>
  <c r="F39" i="8"/>
  <c r="F38" i="8"/>
  <c r="E38" i="8"/>
  <c r="D94" i="14" l="1"/>
  <c r="E91" i="14" s="1"/>
  <c r="E90" i="14" l="1"/>
  <c r="E92" i="14"/>
  <c r="E93" i="14"/>
  <c r="E58" i="11"/>
  <c r="E59" i="11" s="1"/>
  <c r="E60" i="11" s="1"/>
  <c r="E61" i="11" s="1"/>
  <c r="E62" i="11" s="1"/>
  <c r="E63" i="11" s="1"/>
  <c r="E64" i="11" s="1"/>
  <c r="E65" i="11" s="1"/>
  <c r="F58" i="11"/>
  <c r="F59" i="11" s="1"/>
  <c r="F60" i="11" s="1"/>
  <c r="F61" i="11" s="1"/>
  <c r="F62" i="11" s="1"/>
  <c r="F63" i="11" s="1"/>
  <c r="F64" i="11" s="1"/>
  <c r="F65" i="11" s="1"/>
  <c r="C58" i="11"/>
  <c r="C59" i="11" s="1"/>
  <c r="C60" i="11" s="1"/>
  <c r="C61" i="11" s="1"/>
  <c r="C62" i="11" s="1"/>
  <c r="C63" i="11" s="1"/>
  <c r="C64" i="11" s="1"/>
  <c r="C65" i="11" s="1"/>
  <c r="E56" i="11"/>
  <c r="F56" i="11" s="1"/>
  <c r="J64" i="11" l="1"/>
  <c r="J60" i="11"/>
  <c r="C135" i="12"/>
  <c r="C133" i="12"/>
  <c r="C131" i="12"/>
  <c r="J47" i="14" l="1"/>
  <c r="J48" i="14" s="1"/>
  <c r="J49" i="14" s="1"/>
  <c r="J50" i="14" s="1"/>
  <c r="I47" i="14"/>
  <c r="I48" i="14" s="1"/>
  <c r="I49" i="14" s="1"/>
  <c r="I50" i="14" s="1"/>
  <c r="E47" i="14"/>
  <c r="E48" i="14"/>
  <c r="E49" i="14"/>
  <c r="E50" i="14"/>
  <c r="E46" i="14"/>
  <c r="E20" i="14"/>
  <c r="E21" i="14"/>
  <c r="E22" i="14"/>
  <c r="E23" i="14"/>
  <c r="E19" i="14"/>
  <c r="D122" i="12" l="1"/>
  <c r="O60" i="10"/>
  <c r="O61" i="10"/>
  <c r="O56" i="10"/>
  <c r="O55" i="10"/>
  <c r="O57" i="10"/>
  <c r="O59" i="10"/>
  <c r="O58" i="10"/>
  <c r="O54" i="10"/>
  <c r="D124" i="12" l="1"/>
  <c r="C114" i="12"/>
  <c r="C91" i="12"/>
  <c r="D91" i="12" s="1"/>
  <c r="E91" i="12" s="1"/>
  <c r="F91" i="12" s="1"/>
  <c r="B92" i="12"/>
  <c r="C92" i="12" l="1"/>
  <c r="D92" i="12" s="1"/>
  <c r="E92" i="12" s="1"/>
  <c r="F92" i="12" s="1"/>
  <c r="B93" i="12"/>
  <c r="J37" i="11"/>
  <c r="C25" i="11"/>
  <c r="C26" i="11" s="1"/>
  <c r="C27" i="11" s="1"/>
  <c r="C28" i="11" s="1"/>
  <c r="C29" i="11" s="1"/>
  <c r="C30" i="11" s="1"/>
  <c r="C31" i="11" s="1"/>
  <c r="F24" i="11"/>
  <c r="F25" i="11" s="1"/>
  <c r="F26" i="11" s="1"/>
  <c r="F27" i="11" s="1"/>
  <c r="F28" i="11" s="1"/>
  <c r="F29" i="11" s="1"/>
  <c r="F30" i="11" s="1"/>
  <c r="F31" i="11" s="1"/>
  <c r="E24" i="11"/>
  <c r="E25" i="11" s="1"/>
  <c r="E26" i="11" s="1"/>
  <c r="E27" i="11" s="1"/>
  <c r="C24" i="11"/>
  <c r="E22" i="11"/>
  <c r="F22" i="11" s="1"/>
  <c r="N61" i="10"/>
  <c r="M61" i="10"/>
  <c r="N60" i="10"/>
  <c r="M60" i="10"/>
  <c r="N59" i="10"/>
  <c r="M59" i="10"/>
  <c r="N58" i="10"/>
  <c r="M58" i="10"/>
  <c r="N57" i="10"/>
  <c r="M57" i="10"/>
  <c r="N56" i="10"/>
  <c r="M56" i="10"/>
  <c r="N55" i="10"/>
  <c r="M55" i="10"/>
  <c r="N54" i="10"/>
  <c r="M48" i="10"/>
  <c r="M47" i="10"/>
  <c r="M44" i="10"/>
  <c r="M43" i="10"/>
  <c r="F81" i="8"/>
  <c r="E81" i="8"/>
  <c r="D81" i="8"/>
  <c r="C81" i="8"/>
  <c r="F80" i="8"/>
  <c r="E80" i="8"/>
  <c r="D80" i="8"/>
  <c r="C80" i="8"/>
  <c r="F79" i="8"/>
  <c r="E79" i="8"/>
  <c r="D79" i="8"/>
  <c r="C79" i="8"/>
  <c r="F78" i="8"/>
  <c r="E78" i="8"/>
  <c r="D78" i="8"/>
  <c r="F62" i="8"/>
  <c r="E62" i="8"/>
  <c r="D62" i="8"/>
  <c r="C62" i="8"/>
  <c r="F61" i="8"/>
  <c r="E61" i="8"/>
  <c r="D61" i="8"/>
  <c r="C61" i="8"/>
  <c r="F60" i="8"/>
  <c r="E60" i="8"/>
  <c r="D60" i="8"/>
  <c r="C60" i="8"/>
  <c r="F59" i="8"/>
  <c r="E59" i="8"/>
  <c r="D59" i="8"/>
  <c r="B54" i="8"/>
  <c r="B53" i="8"/>
  <c r="B52" i="8"/>
  <c r="F41" i="8"/>
  <c r="E41" i="8"/>
  <c r="D41" i="8"/>
  <c r="C41" i="8"/>
  <c r="F40" i="8"/>
  <c r="E40" i="8"/>
  <c r="D40" i="8"/>
  <c r="C40" i="8"/>
  <c r="E39" i="8"/>
  <c r="D39" i="8"/>
  <c r="C39" i="8"/>
  <c r="D38" i="8"/>
  <c r="C38" i="8"/>
  <c r="F37" i="8"/>
  <c r="E37" i="8"/>
  <c r="D37" i="8"/>
  <c r="B29" i="8"/>
  <c r="B28" i="8"/>
  <c r="B27" i="8"/>
  <c r="B16" i="8"/>
  <c r="B23" i="7"/>
  <c r="B21" i="7"/>
  <c r="B20" i="7"/>
  <c r="B19" i="7"/>
  <c r="B17" i="7"/>
  <c r="B15" i="7"/>
  <c r="B13" i="7"/>
  <c r="B12" i="7"/>
  <c r="B11" i="7"/>
  <c r="G18" i="2"/>
  <c r="G15" i="2"/>
  <c r="G14" i="2"/>
  <c r="B54" i="12"/>
  <c r="B35" i="12"/>
  <c r="F21" i="10"/>
  <c r="F19" i="10"/>
  <c r="F26" i="10"/>
  <c r="F22" i="10"/>
  <c r="F20" i="10"/>
  <c r="F25" i="10"/>
  <c r="D35" i="7" l="1"/>
  <c r="E28" i="11"/>
  <c r="E29" i="11" s="1"/>
  <c r="E30" i="11" s="1"/>
  <c r="E31" i="11" s="1"/>
  <c r="L35" i="7"/>
  <c r="B94" i="12"/>
  <c r="C93" i="12"/>
  <c r="D93" i="12" s="1"/>
  <c r="E93" i="12" s="1"/>
  <c r="F93" i="12" s="1"/>
  <c r="F22" i="5"/>
  <c r="F25" i="5"/>
  <c r="D11" i="7"/>
  <c r="F23" i="5"/>
  <c r="F24" i="5"/>
  <c r="D13" i="6"/>
  <c r="D11" i="6"/>
  <c r="F26" i="5"/>
  <c r="D12" i="6"/>
  <c r="B95" i="12" l="1"/>
  <c r="C94" i="12"/>
  <c r="D94" i="12" s="1"/>
  <c r="E94" i="12" s="1"/>
  <c r="F94" i="12" s="1"/>
  <c r="B96" i="12" l="1"/>
  <c r="C95" i="12"/>
  <c r="D95" i="12" s="1"/>
  <c r="E95" i="12" s="1"/>
  <c r="F95" i="12" s="1"/>
  <c r="B97" i="12" l="1"/>
  <c r="C96" i="12"/>
  <c r="D96" i="12" s="1"/>
  <c r="E96" i="12" s="1"/>
  <c r="F96" i="12" s="1"/>
  <c r="B98" i="12" l="1"/>
  <c r="C97" i="12"/>
  <c r="D97" i="12" s="1"/>
  <c r="E97" i="12" s="1"/>
  <c r="F97" i="12" s="1"/>
  <c r="B99" i="12" l="1"/>
  <c r="C98" i="12"/>
  <c r="D98" i="12" s="1"/>
  <c r="E98" i="12" s="1"/>
  <c r="F98" i="12" s="1"/>
  <c r="B100" i="12" l="1"/>
  <c r="C99" i="12"/>
  <c r="D99" i="12" s="1"/>
  <c r="E99" i="12" s="1"/>
  <c r="F99" i="12" s="1"/>
  <c r="B101" i="12" l="1"/>
  <c r="C100" i="12"/>
  <c r="D100" i="12" s="1"/>
  <c r="E100" i="12" s="1"/>
  <c r="F100" i="12" s="1"/>
  <c r="B102" i="12" l="1"/>
  <c r="C101" i="12"/>
  <c r="D101" i="12" s="1"/>
  <c r="E101" i="12" s="1"/>
  <c r="F101" i="12" s="1"/>
  <c r="B103" i="12" l="1"/>
  <c r="C102" i="12"/>
  <c r="D102" i="12" s="1"/>
  <c r="E102" i="12" s="1"/>
  <c r="F102" i="12" s="1"/>
  <c r="B104" i="12" l="1"/>
  <c r="C104" i="12" s="1"/>
  <c r="D104" i="12" s="1"/>
  <c r="E104" i="12" s="1"/>
  <c r="F104" i="12" s="1"/>
  <c r="C103" i="12"/>
  <c r="D103" i="12" s="1"/>
  <c r="E103" i="12" s="1"/>
  <c r="F103" i="12" s="1"/>
</calcChain>
</file>

<file path=xl/sharedStrings.xml><?xml version="1.0" encoding="utf-8"?>
<sst xmlns="http://schemas.openxmlformats.org/spreadsheetml/2006/main" count="859" uniqueCount="549">
  <si>
    <t>Logical Tests</t>
  </si>
  <si>
    <t>=</t>
  </si>
  <si>
    <t>equals</t>
  </si>
  <si>
    <t>Value</t>
  </si>
  <si>
    <t>&gt;</t>
  </si>
  <si>
    <t>greater than</t>
  </si>
  <si>
    <t>&lt;</t>
  </si>
  <si>
    <t>less than</t>
  </si>
  <si>
    <t>&lt;&gt;</t>
  </si>
  <si>
    <t>not equal to</t>
  </si>
  <si>
    <t>Examples</t>
  </si>
  <si>
    <t xml:space="preserve"> =""</t>
  </si>
  <si>
    <t>is blank</t>
  </si>
  <si>
    <t>&gt;""</t>
  </si>
  <si>
    <t>is not blank</t>
  </si>
  <si>
    <t>not blank</t>
  </si>
  <si>
    <t>Result</t>
  </si>
  <si>
    <t>Value 2</t>
  </si>
  <si>
    <t>Value 1</t>
  </si>
  <si>
    <r>
      <t xml:space="preserve">The logical tests provided below can be used in </t>
    </r>
    <r>
      <rPr>
        <b/>
        <sz val="11"/>
        <color theme="1"/>
        <rFont val="Calibri"/>
        <family val="2"/>
        <scheme val="minor"/>
      </rPr>
      <t>if</t>
    </r>
    <r>
      <rPr>
        <sz val="11"/>
        <color theme="1"/>
        <rFont val="Calibri"/>
        <family val="2"/>
        <scheme val="minor"/>
      </rPr>
      <t xml:space="preserve"> functions.</t>
    </r>
  </si>
  <si>
    <t>Change the values in the yellow cells to see the effect on the result</t>
  </si>
  <si>
    <t>Select the result cell to see the formula and logical test used</t>
  </si>
  <si>
    <t>The IF function</t>
  </si>
  <si>
    <t>The TRUE/FALSE in the above equations can be replaced with other text, a number, a formula, a referecne etc.</t>
  </si>
  <si>
    <t>=if(logical_test,[value_if_true], [value_if_false])</t>
  </si>
  <si>
    <t>correct</t>
  </si>
  <si>
    <t>incorrect</t>
  </si>
  <si>
    <t>Result if true:</t>
  </si>
  <si>
    <t>Result if false:</t>
  </si>
  <si>
    <t>* equals logical test used</t>
  </si>
  <si>
    <t>Nested If Function</t>
  </si>
  <si>
    <r>
      <t xml:space="preserve">The if function can be </t>
    </r>
    <r>
      <rPr>
        <b/>
        <i/>
        <sz val="11"/>
        <color theme="1"/>
        <rFont val="Calibri"/>
        <family val="2"/>
        <scheme val="minor"/>
      </rPr>
      <t>nested</t>
    </r>
    <r>
      <rPr>
        <sz val="11"/>
        <color theme="1"/>
        <rFont val="Calibri"/>
        <family val="2"/>
        <scheme val="minor"/>
      </rPr>
      <t xml:space="preserve"> within itself to perform more advanced logical tests.</t>
    </r>
  </si>
  <si>
    <t>A</t>
  </si>
  <si>
    <t>B</t>
  </si>
  <si>
    <t>C</t>
  </si>
  <si>
    <t>Search for:</t>
  </si>
  <si>
    <t>Result:</t>
  </si>
  <si>
    <t xml:space="preserve"> &lt;-- nested if formula in this cell</t>
  </si>
  <si>
    <t>Note that if two of the values match the required value, the first match is returned.</t>
  </si>
  <si>
    <t>This demonstrates that the first true condition is executed, the rest is ignored.</t>
  </si>
  <si>
    <t>An example is provided to the right which checks if any of the values provided match another value.</t>
  </si>
  <si>
    <t>Change the values in the yellow cells to check the behaviour of the nested if function</t>
  </si>
  <si>
    <t>By doing this we can test a number of conditions sequencially.</t>
  </si>
  <si>
    <t xml:space="preserve"> &lt;-- highlight the result cell to see the if formula</t>
  </si>
  <si>
    <r>
      <t xml:space="preserve">returns the </t>
    </r>
    <r>
      <rPr>
        <b/>
        <sz val="11"/>
        <color theme="1"/>
        <rFont val="Calibri"/>
        <family val="2"/>
        <scheme val="minor"/>
      </rPr>
      <t>average</t>
    </r>
    <r>
      <rPr>
        <sz val="11"/>
        <color theme="1"/>
        <rFont val="Calibri"/>
        <family val="2"/>
        <scheme val="minor"/>
      </rPr>
      <t xml:space="preserve"> value from a range of cells</t>
    </r>
  </si>
  <si>
    <r>
      <t xml:space="preserve">returns the </t>
    </r>
    <r>
      <rPr>
        <b/>
        <sz val="11"/>
        <color theme="1"/>
        <rFont val="Calibri"/>
        <family val="2"/>
        <scheme val="minor"/>
      </rPr>
      <t>minimum</t>
    </r>
    <r>
      <rPr>
        <sz val="11"/>
        <color theme="1"/>
        <rFont val="Calibri"/>
        <family val="2"/>
        <scheme val="minor"/>
      </rPr>
      <t xml:space="preserve"> value from a range of cells</t>
    </r>
  </si>
  <si>
    <r>
      <t xml:space="preserve">returns the </t>
    </r>
    <r>
      <rPr>
        <b/>
        <sz val="11"/>
        <color theme="1"/>
        <rFont val="Calibri"/>
        <family val="2"/>
        <scheme val="minor"/>
      </rPr>
      <t>maximum</t>
    </r>
    <r>
      <rPr>
        <sz val="11"/>
        <color theme="1"/>
        <rFont val="Calibri"/>
        <family val="2"/>
        <scheme val="minor"/>
      </rPr>
      <t xml:space="preserve"> value from a range of cells</t>
    </r>
  </si>
  <si>
    <r>
      <t xml:space="preserve">returns the </t>
    </r>
    <r>
      <rPr>
        <b/>
        <sz val="11"/>
        <color theme="1"/>
        <rFont val="Calibri"/>
        <family val="2"/>
        <scheme val="minor"/>
      </rPr>
      <t>median</t>
    </r>
    <r>
      <rPr>
        <sz val="11"/>
        <color theme="1"/>
        <rFont val="Calibri"/>
        <family val="2"/>
        <scheme val="minor"/>
      </rPr>
      <t xml:space="preserve"> (middle) value from a range of cells</t>
    </r>
  </si>
  <si>
    <t>Range</t>
  </si>
  <si>
    <t>LARGE</t>
  </si>
  <si>
    <t>MAX</t>
  </si>
  <si>
    <t>MIN</t>
  </si>
  <si>
    <t>AVERAGE</t>
  </si>
  <si>
    <t>MEDIAN</t>
  </si>
  <si>
    <t>SMALL</t>
  </si>
  <si>
    <t>where k =</t>
  </si>
  <si>
    <t>Highlight the result cell to see the formulae</t>
  </si>
  <si>
    <t xml:space="preserve"> * k must not be greater than the number of values in the range</t>
  </si>
  <si>
    <t xml:space="preserve"> * i.e. you can't return the tenth largest when there's only 9 values</t>
  </si>
  <si>
    <t>There are many functions in excel to analyse a range of values</t>
  </si>
  <si>
    <t>text</t>
  </si>
  <si>
    <t>COUNT</t>
  </si>
  <si>
    <t>COUNTA</t>
  </si>
  <si>
    <t>COUNTBLANK</t>
  </si>
  <si>
    <r>
      <t xml:space="preserve">counts the number of cells </t>
    </r>
    <r>
      <rPr>
        <b/>
        <sz val="11"/>
        <color theme="1"/>
        <rFont val="Calibri"/>
        <family val="2"/>
        <scheme val="minor"/>
      </rPr>
      <t>that contains numbers</t>
    </r>
    <r>
      <rPr>
        <sz val="11"/>
        <color theme="1"/>
        <rFont val="Calibri"/>
        <family val="2"/>
        <scheme val="minor"/>
      </rPr>
      <t xml:space="preserve"> in a range</t>
    </r>
  </si>
  <si>
    <r>
      <t xml:space="preserve">counts the number of </t>
    </r>
    <r>
      <rPr>
        <b/>
        <sz val="11"/>
        <color theme="1"/>
        <rFont val="Calibri"/>
        <family val="2"/>
        <scheme val="minor"/>
      </rPr>
      <t>non-empty</t>
    </r>
    <r>
      <rPr>
        <sz val="11"/>
        <color theme="1"/>
        <rFont val="Calibri"/>
        <family val="2"/>
        <scheme val="minor"/>
      </rPr>
      <t xml:space="preserve"> cells in a range</t>
    </r>
  </si>
  <si>
    <r>
      <t xml:space="preserve">counts the number of </t>
    </r>
    <r>
      <rPr>
        <b/>
        <sz val="11"/>
        <color theme="1"/>
        <rFont val="Calibri"/>
        <family val="2"/>
        <scheme val="minor"/>
      </rPr>
      <t>empty</t>
    </r>
    <r>
      <rPr>
        <sz val="11"/>
        <color theme="1"/>
        <rFont val="Calibri"/>
        <family val="2"/>
        <scheme val="minor"/>
      </rPr>
      <t xml:space="preserve"> cells in a range</t>
    </r>
  </si>
  <si>
    <t>=COUNTIF(range, criteria)</t>
  </si>
  <si>
    <t>=COUNT(range)</t>
  </si>
  <si>
    <t>=COUNTA(range)</t>
  </si>
  <si>
    <t>=COUNTBLANK(range)</t>
  </si>
  <si>
    <t>=MAX(range)</t>
  </si>
  <si>
    <t>=MIN(range)</t>
  </si>
  <si>
    <t>=AVERAGE(range)</t>
  </si>
  <si>
    <t>=MEDIAN(range)</t>
  </si>
  <si>
    <t>=LARGE(range, k)</t>
  </si>
  <si>
    <t>=SMALL(range,k)</t>
  </si>
  <si>
    <r>
      <t xml:space="preserve">returns the </t>
    </r>
    <r>
      <rPr>
        <b/>
        <sz val="11"/>
        <color theme="1"/>
        <rFont val="Calibri"/>
        <family val="2"/>
        <scheme val="minor"/>
      </rPr>
      <t>kth largest</t>
    </r>
    <r>
      <rPr>
        <sz val="11"/>
        <color theme="1"/>
        <rFont val="Calibri"/>
        <family val="2"/>
        <scheme val="minor"/>
      </rPr>
      <t xml:space="preserve"> value from a range of cells </t>
    </r>
  </si>
  <si>
    <r>
      <t xml:space="preserve">returns the </t>
    </r>
    <r>
      <rPr>
        <b/>
        <sz val="11"/>
        <color theme="1"/>
        <rFont val="Calibri"/>
        <family val="2"/>
        <scheme val="minor"/>
      </rPr>
      <t>kth smallest</t>
    </r>
    <r>
      <rPr>
        <sz val="11"/>
        <color theme="1"/>
        <rFont val="Calibri"/>
        <family val="2"/>
        <scheme val="minor"/>
      </rPr>
      <t xml:space="preserve"> value from a range of cells </t>
    </r>
  </si>
  <si>
    <t>=COUNTIFS(range 1, criteria 1, range 2, criteria 2)</t>
  </si>
  <si>
    <t>Y</t>
  </si>
  <si>
    <t>N</t>
  </si>
  <si>
    <t>Range 1</t>
  </si>
  <si>
    <t>Range 2</t>
  </si>
  <si>
    <r>
      <t xml:space="preserve">counts the number of cells in a range that fit a specific condition </t>
    </r>
    <r>
      <rPr>
        <b/>
        <sz val="11"/>
        <color theme="1"/>
        <rFont val="Calibri"/>
        <family val="2"/>
        <scheme val="minor"/>
      </rPr>
      <t>(used to check a single range)</t>
    </r>
  </si>
  <si>
    <r>
      <t xml:space="preserve">counts the number of cells in a range that fit all the conditions </t>
    </r>
    <r>
      <rPr>
        <b/>
        <sz val="11"/>
        <color theme="1"/>
        <rFont val="Calibri"/>
        <family val="2"/>
        <scheme val="minor"/>
      </rPr>
      <t>(used to check multiple ranges)</t>
    </r>
  </si>
  <si>
    <t xml:space="preserve">COUNTIFS </t>
  </si>
  <si>
    <t>counts if both ranges have Y</t>
  </si>
  <si>
    <t xml:space="preserve">COUNTIF </t>
  </si>
  <si>
    <t>counts if the range has Y</t>
  </si>
  <si>
    <r>
      <t xml:space="preserve">You can use more detailed conditions for counting cells by using the </t>
    </r>
    <r>
      <rPr>
        <b/>
        <sz val="11"/>
        <color theme="1"/>
        <rFont val="Calibri"/>
        <family val="2"/>
        <scheme val="minor"/>
      </rPr>
      <t>COUNTIF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COUNTIFS</t>
    </r>
    <r>
      <rPr>
        <sz val="11"/>
        <color theme="1"/>
        <rFont val="Calibri"/>
        <family val="2"/>
        <scheme val="minor"/>
      </rPr>
      <t xml:space="preserve"> functions</t>
    </r>
  </si>
  <si>
    <t>The count function will count up the number of cells in a range that fit a certain condition.</t>
  </si>
  <si>
    <t>The Count Function</t>
  </si>
  <si>
    <t>The Sum Function</t>
  </si>
  <si>
    <t>=SUM(range)</t>
  </si>
  <si>
    <t>sums the cell values in a range</t>
  </si>
  <si>
    <t>The sum function will sum up the values in a range.</t>
  </si>
  <si>
    <t>There are more sum functions available, type =sum into a cell and cycle through the functions available to see what they do</t>
  </si>
  <si>
    <t>SUM</t>
  </si>
  <si>
    <t>Note: only the cells with numbers are included in the sum</t>
  </si>
  <si>
    <t>=SUMIFS(sum range, condition range 1, condition 1, condition range 2, condition 2)</t>
  </si>
  <si>
    <r>
      <t xml:space="preserve">sums the number of cells in a range that fit a specific condition </t>
    </r>
    <r>
      <rPr>
        <b/>
        <sz val="11"/>
        <color theme="1"/>
        <rFont val="Calibri"/>
        <family val="2"/>
        <scheme val="minor"/>
      </rPr>
      <t>(can optionally provide a separate sum range and condition range)</t>
    </r>
  </si>
  <si>
    <t>=SUMIF(range, criteria, [sum range])</t>
  </si>
  <si>
    <t xml:space="preserve">SUMIF </t>
  </si>
  <si>
    <t>example sums values greater than 20</t>
  </si>
  <si>
    <t xml:space="preserve">SUMIFS </t>
  </si>
  <si>
    <r>
      <t xml:space="preserve">counts the number of cells in a range that fit all the conditions </t>
    </r>
    <r>
      <rPr>
        <b/>
        <sz val="11"/>
        <color theme="1"/>
        <rFont val="Calibri"/>
        <family val="2"/>
        <scheme val="minor"/>
      </rPr>
      <t>(used to check multiple ranges or criteria)</t>
    </r>
  </si>
  <si>
    <t>Absolute Referencing</t>
  </si>
  <si>
    <t>When you use a cell's value in a formula you are referencing that cell.</t>
  </si>
  <si>
    <t>Sometimes, we don't want the reference cell to be updated automatically</t>
  </si>
  <si>
    <r>
      <t xml:space="preserve">In this case, we need to use an </t>
    </r>
    <r>
      <rPr>
        <b/>
        <i/>
        <sz val="11"/>
        <color theme="1"/>
        <rFont val="Calibri"/>
        <family val="2"/>
        <scheme val="minor"/>
      </rPr>
      <t>absolute reference</t>
    </r>
  </si>
  <si>
    <r>
      <t xml:space="preserve">In this case, the referenced cell within the formula will automatically update relative to the change in cell location (i.e. they are </t>
    </r>
    <r>
      <rPr>
        <i/>
        <sz val="11"/>
        <color theme="1"/>
        <rFont val="Calibri"/>
        <family val="2"/>
        <scheme val="minor"/>
      </rPr>
      <t>relative references</t>
    </r>
    <r>
      <rPr>
        <sz val="11"/>
        <color theme="1"/>
        <rFont val="Calibri"/>
        <family val="2"/>
        <scheme val="minor"/>
      </rPr>
      <t>)</t>
    </r>
  </si>
  <si>
    <t>An absolute reference is entered in a formula by the addition of a dollar sign - $</t>
  </si>
  <si>
    <t>The dollar sign can precede the column reference, the row reference, or both.</t>
  </si>
  <si>
    <t>When you have a reference selected within a formula, you can use F4 to cycle through the absolute reference options.</t>
  </si>
  <si>
    <t/>
  </si>
  <si>
    <t>A cell's formula can be applied to cells beside or above/below it (by selecting the cell, hovering over the bottom right corner and using the little cross that appears to pull the formula across the required cells).</t>
  </si>
  <si>
    <t>Use the $ symbol before the column when you always want rows from this column to be used</t>
  </si>
  <si>
    <t>Highlight the yellow cell below and drag the formula across to the cell to the right of it.</t>
  </si>
  <si>
    <t>Notice the formula in the new cell references the first column and also the column beside it</t>
  </si>
  <si>
    <t>Highlight the new cell and drag it across to the right again</t>
  </si>
  <si>
    <t>Highlight the 2 new cells and drag their formulae down to the remaining rows in the table</t>
  </si>
  <si>
    <t>Notice the formulae in these rows still reference the first column, but have updated the row reference</t>
  </si>
  <si>
    <t>After Step 1, it should look like this:</t>
  </si>
  <si>
    <t>After Step 3, it should look like this:</t>
  </si>
  <si>
    <t>After Step 5, it should look like this:</t>
  </si>
  <si>
    <t>Use the $ symbol before the row when you always want columns from this row to be used</t>
  </si>
  <si>
    <t>The first column is reference from each cell by using the $ sign</t>
  </si>
  <si>
    <t>The first row is referenced from each cell by using the $ sign on the row</t>
  </si>
  <si>
    <t>The adjacent colum is referenced by omitting the $ sign</t>
  </si>
  <si>
    <t>The adjacent row is referenced from each cell by omitting the $ sign</t>
  </si>
  <si>
    <t>Highlight the yellow cell below and drag the formula down to the cell below it.</t>
  </si>
  <si>
    <t>Notice the formula in the new cell references the first row and also the row above it</t>
  </si>
  <si>
    <t>Highlight the new cell and drag it down below again</t>
  </si>
  <si>
    <t>The new cell still references the first row but also the row above it.</t>
  </si>
  <si>
    <t>The new cell still references the first column but also the column beside it.</t>
  </si>
  <si>
    <t>Highlight the 2 new cells and drag their formulae accross to the remaining columns in the table</t>
  </si>
  <si>
    <t>Notice the formulae in these columns still reference the first row but have updated the column reference</t>
  </si>
  <si>
    <t>Follow the steps below to see this in action (if you make a mistake use undo - Ctrl + Z)</t>
  </si>
  <si>
    <t>Use the $ symbol before both the column and the row when you always want cto use this cell in your formula.</t>
  </si>
  <si>
    <t>The first cell is referenced from every cell in the table by using the $ sign on both the column and the row</t>
  </si>
  <si>
    <t>The adjacent columns and rows are referenced from each cell similarly to above</t>
  </si>
  <si>
    <t>At this stage you get the idea and don't need a step by step to follow it….</t>
  </si>
  <si>
    <t xml:space="preserve"> &lt;- absolute referenced row</t>
  </si>
  <si>
    <t xml:space="preserve"> &lt;- absolute referenced column</t>
  </si>
  <si>
    <t xml:space="preserve"> &lt;- absolute referenced cell</t>
  </si>
  <si>
    <t>Click here to go to home page</t>
  </si>
  <si>
    <t>Home Page</t>
  </si>
  <si>
    <t>Contents</t>
  </si>
  <si>
    <t>Useful when you need to add up all the values in cells that fit a particular criteria</t>
  </si>
  <si>
    <t>The heart of all logical operations in excel</t>
  </si>
  <si>
    <t>Functions for analysing a range of data and returning a particular value</t>
  </si>
  <si>
    <t>How and when to use the $ symbol for absolute referencing</t>
  </si>
  <si>
    <t>The $ Symbol</t>
  </si>
  <si>
    <t>Max/Min etc. Functions</t>
  </si>
  <si>
    <t>The If Function</t>
  </si>
  <si>
    <t>Click on a title to learn more.</t>
  </si>
  <si>
    <t>Useful when you need to count the number of cells that fit a particular criteria</t>
  </si>
  <si>
    <t xml:space="preserve"> &lt;- click on this cell, click on the cell reference (A16) and press the F4 button</t>
  </si>
  <si>
    <t>This will change the reference from A16 -&gt; $A$16 -&gt; A$16 -&gt; $A16</t>
  </si>
  <si>
    <t>When to use the $ before the column? (E.g. $A16)</t>
  </si>
  <si>
    <t>When to use the $ before the row? (E.g. A$16)</t>
  </si>
  <si>
    <t>When to use the $ before both the column and the row? (E.g. $A$16)</t>
  </si>
  <si>
    <t>The Indirect Function</t>
  </si>
  <si>
    <t>The indirect function is particularly useful for dealing with daylight results in IES</t>
  </si>
  <si>
    <t>Use the indirect function when you want to change the reference to a cell within a formula without changing the formula itself.</t>
  </si>
  <si>
    <t>=INDIRECT(ref_text,[a1])</t>
  </si>
  <si>
    <t>ref_text</t>
  </si>
  <si>
    <t>[a1]</t>
  </si>
  <si>
    <t>Optional. A logical value that specifies what type of reference is contained in the cell ref_text.</t>
  </si>
  <si>
    <t>Required. A reference to a cell that contains an A1-style reference, an R1C1-style reference, a name defined as a reference, or a reference to a cell as a text string. If ref_text is not a valid cell reference, INDIRECT returns the #REF! error value.</t>
  </si>
  <si>
    <t>If a1 is FALSE, ref_text is interpreted as an R1C1-style reference.</t>
  </si>
  <si>
    <t>C19</t>
  </si>
  <si>
    <t>C20</t>
  </si>
  <si>
    <t>NamedCell</t>
  </si>
  <si>
    <t>=INDIRECT(B19)</t>
  </si>
  <si>
    <t>=INDIRECT(B20)</t>
  </si>
  <si>
    <t>=INDIRECT(B21)</t>
  </si>
  <si>
    <t>=INDIRECT("C"&amp;B22)</t>
  </si>
  <si>
    <t>Explanation</t>
  </si>
  <si>
    <t>The value of cell B19, which is "C19" is used to indirectly reference C19</t>
  </si>
  <si>
    <t>The value of cell B20, which is "C20" is used to indirectly reference C20</t>
  </si>
  <si>
    <t>The value of cell B21, which is "NamedCell" is used to indirectly reference the cell named "NamedCell" (which is cell C21)</t>
  </si>
  <si>
    <t>The value of cell B22, which is "22" is combined with "C" to form "C22" to indirectly reference C22.       Note: text values can be combined in formulae by using the &amp; symbol</t>
  </si>
  <si>
    <t>Formulae</t>
  </si>
  <si>
    <t>If a1 is TRUE or omitted, ref_text is interpreted as an A1-style reference. If this parameter is omitted, an A1 style reference is assumed.</t>
  </si>
  <si>
    <t>Example Data - A1 stlye</t>
  </si>
  <si>
    <t>Example Data - R1C1 stlye</t>
  </si>
  <si>
    <t>R25C3</t>
  </si>
  <si>
    <t>R26C3</t>
  </si>
  <si>
    <t>test</t>
  </si>
  <si>
    <t>=INDIRECT(B25,false)</t>
  </si>
  <si>
    <t>=INDIRECT(B26,false)</t>
  </si>
  <si>
    <t>The value of cell B25, which is "R25C3" is used to indirectly reference C25</t>
  </si>
  <si>
    <t>The value of cell B26, which is "R26C3" is used to indirectly reference C26</t>
  </si>
  <si>
    <t>So how do I use this with daylight results in IES?</t>
  </si>
  <si>
    <r>
      <t xml:space="preserve">Use the indirect function with </t>
    </r>
    <r>
      <rPr>
        <b/>
        <sz val="11"/>
        <color theme="1"/>
        <rFont val="Calibri"/>
        <family val="2"/>
        <scheme val="minor"/>
      </rPr>
      <t>IES daylight results</t>
    </r>
    <r>
      <rPr>
        <sz val="11"/>
        <color theme="1"/>
        <rFont val="Calibri"/>
        <family val="2"/>
        <scheme val="minor"/>
      </rPr>
      <t>.</t>
    </r>
  </si>
  <si>
    <t>MAX/MIN Etc Functions</t>
  </si>
  <si>
    <t>The COUNT Function</t>
  </si>
  <si>
    <t>The SUM Function</t>
  </si>
  <si>
    <t>The INDIRECT Function</t>
  </si>
  <si>
    <t>IES outputs the daylight results in a particular format.</t>
  </si>
  <si>
    <t>Calculation summary:</t>
  </si>
  <si>
    <t>Room ID</t>
  </si>
  <si>
    <t>Room name</t>
  </si>
  <si>
    <t>Analysis calculation</t>
  </si>
  <si>
    <t>Performed</t>
  </si>
  <si>
    <t>Succeeded</t>
  </si>
  <si>
    <t>BLDN0033</t>
  </si>
  <si>
    <t>Library</t>
  </si>
  <si>
    <t>√</t>
  </si>
  <si>
    <t>PE__0013</t>
  </si>
  <si>
    <t>PE</t>
  </si>
  <si>
    <t>BLDN0052</t>
  </si>
  <si>
    <t>Deputy Pricipal's Office (G058)</t>
  </si>
  <si>
    <t>PRNC0001</t>
  </si>
  <si>
    <t>Principal's Office (F072)</t>
  </si>
  <si>
    <t>BLDN0091</t>
  </si>
  <si>
    <t>SNU Office (G040)</t>
  </si>
  <si>
    <t>STFF0003</t>
  </si>
  <si>
    <t>Staff Room</t>
  </si>
  <si>
    <t>CLSS0029</t>
  </si>
  <si>
    <t>Classroom 11 (G029)</t>
  </si>
  <si>
    <t>CLSS0032</t>
  </si>
  <si>
    <t>Classroom 9 (G025)</t>
  </si>
  <si>
    <t>Room BLDN0033 (Library)</t>
  </si>
  <si>
    <t>Analysis calculation for room -</t>
  </si>
  <si>
    <t>Summary results for working planes and floor</t>
  </si>
  <si>
    <t>Surface</t>
  </si>
  <si>
    <t>Quantity</t>
  </si>
  <si>
    <t>Values</t>
  </si>
  <si>
    <t>Uniformity</t>
  </si>
  <si>
    <t>Diversity</t>
  </si>
  <si>
    <t>Min.</t>
  </si>
  <si>
    <t>Ave.</t>
  </si>
  <si>
    <t>Max.</t>
  </si>
  <si>
    <t>(Min./Ave.)</t>
  </si>
  <si>
    <t>(Min./Max.)</t>
  </si>
  <si>
    <t>Working plane 1</t>
  </si>
  <si>
    <t>Daylight factor</t>
  </si>
  <si>
    <t>Reflectance=0%</t>
  </si>
  <si>
    <t>Transmittance=100%</t>
  </si>
  <si>
    <t>Grid size=0.50 m</t>
  </si>
  <si>
    <t>Area=89.853m²</t>
  </si>
  <si>
    <t>Daylight illuminance</t>
  </si>
  <si>
    <t>43.60 lux</t>
  </si>
  <si>
    <t>399.48 lux</t>
  </si>
  <si>
    <t>4076.48 lux</t>
  </si>
  <si>
    <t>Margin=0.50 m</t>
  </si>
  <si>
    <t>Sky view</t>
  </si>
  <si>
    <t>Room PE__0013 (PE)</t>
  </si>
  <si>
    <t>Area=341.698m²</t>
  </si>
  <si>
    <t>40.46 lux</t>
  </si>
  <si>
    <t>631.44 lux</t>
  </si>
  <si>
    <t>3733.33 lux</t>
  </si>
  <si>
    <t>Room BLDN0052 (Deputy Pricipal's Office (G058))</t>
  </si>
  <si>
    <t>Area=14.210m²</t>
  </si>
  <si>
    <t>171.55 lux</t>
  </si>
  <si>
    <t>678.52 lux</t>
  </si>
  <si>
    <t>1982.25 lux</t>
  </si>
  <si>
    <t>Room PRNC0001 (Principal's Office (F072))</t>
  </si>
  <si>
    <t>Area=19.252m²</t>
  </si>
  <si>
    <t>35.00 lux</t>
  </si>
  <si>
    <t>234.96 lux</t>
  </si>
  <si>
    <t>1821.16 lux</t>
  </si>
  <si>
    <t>Room BLDN0091 (SNU Office (G040))</t>
  </si>
  <si>
    <t>Area=15.123m²</t>
  </si>
  <si>
    <t>5.66 lux</t>
  </si>
  <si>
    <t>252.60 lux</t>
  </si>
  <si>
    <t>1586.62 lux</t>
  </si>
  <si>
    <t>Room STFF0003 (Staff Room)</t>
  </si>
  <si>
    <t>Area=69.541m²</t>
  </si>
  <si>
    <t>59.03 lux</t>
  </si>
  <si>
    <t>302.94 lux</t>
  </si>
  <si>
    <t>1710.50 lux</t>
  </si>
  <si>
    <t>Room CLSS0029 (Classroom 11 (G029))</t>
  </si>
  <si>
    <t>Area=37.620m²</t>
  </si>
  <si>
    <t>22.07 lux</t>
  </si>
  <si>
    <t>557.97 lux</t>
  </si>
  <si>
    <t>2584.92 lux</t>
  </si>
  <si>
    <t>Room CLSS0032 (Classroom 9 (G025))</t>
  </si>
  <si>
    <t>Area=36.809m²</t>
  </si>
  <si>
    <t>12.48 lux</t>
  </si>
  <si>
    <t>504.56 lux</t>
  </si>
  <si>
    <t>2911.66 lux</t>
  </si>
  <si>
    <t>We can use the indirect function to help us convert IES's data into a nice concise table.</t>
  </si>
  <si>
    <t>We can note the following from IES's data:</t>
  </si>
  <si>
    <t>The same data is provided for each room</t>
  </si>
  <si>
    <t>There is an equal distance between one room and the next (i.e. 3 blanks rows and then the pattern repeats)</t>
  </si>
  <si>
    <t>The average daylight factor is always in column "D"</t>
  </si>
  <si>
    <t>An example of this is shown to the left (from Rush NS)</t>
  </si>
  <si>
    <t>= The number of rows between one room and the next</t>
  </si>
  <si>
    <t>= The first row that the average daylight factor occurs in (which correspoinds to the library)</t>
  </si>
  <si>
    <t>= The column that the average daylight factor occurs in</t>
  </si>
  <si>
    <t>D</t>
  </si>
  <si>
    <t>From this information we can construct the following table very easily:</t>
  </si>
  <si>
    <t>Room</t>
  </si>
  <si>
    <t>Avg Daylight Factor</t>
  </si>
  <si>
    <r>
      <t xml:space="preserve">  &lt;- click on the result to see the </t>
    </r>
    <r>
      <rPr>
        <b/>
        <sz val="11"/>
        <color theme="1"/>
        <rFont val="Calibri"/>
        <family val="2"/>
        <scheme val="minor"/>
      </rPr>
      <t>indirect</t>
    </r>
    <r>
      <rPr>
        <sz val="11"/>
        <color theme="1"/>
        <rFont val="Calibri"/>
        <family val="2"/>
        <scheme val="minor"/>
      </rPr>
      <t xml:space="preserve"> formula used</t>
    </r>
  </si>
  <si>
    <t>Multiplier*</t>
  </si>
  <si>
    <t>* The multiplier is used to determine how many rooms to skip (it should be omitted from the table as it's for calculation only)</t>
  </si>
  <si>
    <t>Extract the average daylight factors using the Indirect Function</t>
  </si>
  <si>
    <t>From this we can determine:</t>
  </si>
  <si>
    <t>Remember:</t>
  </si>
  <si>
    <t>We can then use conditional formatting to highlight which rooms achieve their required daylight factors and which don't.</t>
  </si>
  <si>
    <t>=VLOOKUP(lookup_value, table_array,col_index_num,[range_lookup])</t>
  </si>
  <si>
    <t>lookup_value</t>
  </si>
  <si>
    <t>= the value that you're searching for</t>
  </si>
  <si>
    <t>table_array</t>
  </si>
  <si>
    <t>col_index_num</t>
  </si>
  <si>
    <t>[range_lookup]</t>
  </si>
  <si>
    <t>column index</t>
  </si>
  <si>
    <t>R-01</t>
  </si>
  <si>
    <t>R-02</t>
  </si>
  <si>
    <t>R-03</t>
  </si>
  <si>
    <t>R-04</t>
  </si>
  <si>
    <t>R-05</t>
  </si>
  <si>
    <t>R-06</t>
  </si>
  <si>
    <t>R-07</t>
  </si>
  <si>
    <t>R-08</t>
  </si>
  <si>
    <t>R-09</t>
  </si>
  <si>
    <t>For example</t>
  </si>
  <si>
    <t xml:space="preserve"> &lt;-- Enter radiator reference (lookup_value)</t>
  </si>
  <si>
    <t>Notice that if we enter an invalid reference, we get N/A returned</t>
  </si>
  <si>
    <r>
      <t xml:space="preserve">= the table to search for the value from (should be a range susch as A1:B10). </t>
    </r>
    <r>
      <rPr>
        <b/>
        <sz val="11"/>
        <color theme="1"/>
        <rFont val="Calibri"/>
        <family val="2"/>
        <scheme val="minor"/>
      </rPr>
      <t>The first colum is always searched for the look_up value.</t>
    </r>
  </si>
  <si>
    <t>= the column to return the value from (if the lookup value is found in row 3, the value in row 3 in the selected column will be returned)</t>
  </si>
  <si>
    <t>(Ref)</t>
  </si>
  <si>
    <t>(kW)</t>
  </si>
  <si>
    <t>Use the vlookup function when you want to check where a value occurs in the first column of a table, and return a corresponding value from another column in the table</t>
  </si>
  <si>
    <t>If the value can't be found, a N/A will be returned (if an exact match required)</t>
  </si>
  <si>
    <t>For example, if we want to referrence another cell for the value to be returned if true/false we could use the following set up</t>
  </si>
  <si>
    <t>Instead of returning the value from a corresponding column, it returns the row index of where the value was found.</t>
  </si>
  <si>
    <r>
      <t xml:space="preserve"> &lt;-- The row index of the table where the value was found </t>
    </r>
    <r>
      <rPr>
        <b/>
        <sz val="11"/>
        <color theme="1"/>
        <rFont val="Calibri"/>
        <family val="2"/>
        <scheme val="minor"/>
      </rPr>
      <t>(highlight the cell to see the MATCH function)</t>
    </r>
  </si>
  <si>
    <r>
      <t xml:space="preserve">The </t>
    </r>
    <r>
      <rPr>
        <b/>
        <sz val="11"/>
        <color theme="1"/>
        <rFont val="Calibri"/>
        <family val="2"/>
        <scheme val="minor"/>
      </rPr>
      <t>MATCH</t>
    </r>
    <r>
      <rPr>
        <sz val="11"/>
        <color theme="1"/>
        <rFont val="Calibri"/>
        <family val="2"/>
        <scheme val="minor"/>
      </rPr>
      <t xml:space="preserve"> function is similar to the VLOOKUP function.</t>
    </r>
  </si>
  <si>
    <t>(cost)</t>
  </si>
  <si>
    <t xml:space="preserve"> &lt;-- Enter the column index with the kW rating or cost, depending on what you want to return (col_index_num)</t>
  </si>
  <si>
    <t>If we had a table with a number of radiator references and their corresponding kW ratings and costs</t>
  </si>
  <si>
    <t>We could use vlookup to enter a reference and return the kW rating or cost</t>
  </si>
  <si>
    <r>
      <t xml:space="preserve"> &lt;-- The resulting kW rating or cost is shown here, depending on which column was entered </t>
    </r>
    <r>
      <rPr>
        <b/>
        <sz val="11"/>
        <color theme="1"/>
        <rFont val="Calibri"/>
        <family val="2"/>
        <scheme val="minor"/>
      </rPr>
      <t>(highlight the cell to see the VLOOKUP function)</t>
    </r>
  </si>
  <si>
    <t>Change the reference used and watch the kW rating or cost value update automatically</t>
  </si>
  <si>
    <t>=TODAY()</t>
  </si>
  <si>
    <t>Today's Date</t>
  </si>
  <si>
    <t>Name a Cell so you can reference it from anywhere</t>
  </si>
  <si>
    <t>When you have a cell highlighted, you can give it a name in the Name Box as shown below</t>
  </si>
  <si>
    <t>Once you have named a cell, you can reference it in formulae from other cells</t>
  </si>
  <si>
    <t>This can be useful if you want to automatically update equipment schedules to the date it was when it was saved / converted to PDF</t>
  </si>
  <si>
    <t>Insert Multiple Blank Rows at Once</t>
  </si>
  <si>
    <t>Instead of inserting a number of single rows, you can insert multiple rows at once.</t>
  </si>
  <si>
    <t>See example below:</t>
  </si>
  <si>
    <t>General Tips &amp; Tricks</t>
  </si>
  <si>
    <t>This page lists a number of useful tips and tricks for general use.</t>
  </si>
  <si>
    <t xml:space="preserve">    Highlight the row that you want to insert above, and drag down for the number of rows you want to insert.</t>
  </si>
  <si>
    <t xml:space="preserve">    Right click and insert as you would for a single insert</t>
  </si>
  <si>
    <t xml:space="preserve">    Voila!</t>
  </si>
  <si>
    <t>Freeze Panes (so rows or columns always show)</t>
  </si>
  <si>
    <t>You've probably noticed each sheet in this workbook always shows a header.</t>
  </si>
  <si>
    <t>No matter how much I scroll down, these rows are always displayed.</t>
  </si>
  <si>
    <t>This is achieved by using the Freeze Panes option in the View tab.</t>
  </si>
  <si>
    <t>There are two predefined options offered: "Freeze First Column" and "Freeze Top Row"</t>
  </si>
  <si>
    <t>These are faily self explanatory</t>
  </si>
  <si>
    <t>The remianing option is "Freeze Panes"</t>
  </si>
  <si>
    <t>This will use the top left of the currently selected cell as a pivot point</t>
  </si>
  <si>
    <t>All rows and columns to the left or above this pivot point will always be displayed</t>
  </si>
  <si>
    <t>Try it out, if you make a mistake you can "Unfreeze panes" in the same tab.</t>
  </si>
  <si>
    <t>Use with caution!</t>
  </si>
  <si>
    <t>You can also use the "Split" option in the view tab to have up to four independent windows of the current worksheet.</t>
  </si>
  <si>
    <t>Flip a table (Transpose it)</t>
  </si>
  <si>
    <t>Sometimes, we have data in a table bit it's the wrong way around</t>
  </si>
  <si>
    <r>
      <t xml:space="preserve">There's a quick way to </t>
    </r>
    <r>
      <rPr>
        <i/>
        <sz val="11"/>
        <color theme="1"/>
        <rFont val="Calibri"/>
        <family val="2"/>
        <scheme val="minor"/>
      </rPr>
      <t>flip</t>
    </r>
    <r>
      <rPr>
        <sz val="11"/>
        <color theme="1"/>
        <rFont val="Calibri"/>
        <family val="2"/>
        <scheme val="minor"/>
      </rPr>
      <t xml:space="preserve"> a table using the </t>
    </r>
    <r>
      <rPr>
        <b/>
        <sz val="11"/>
        <color theme="1"/>
        <rFont val="Calibri"/>
        <family val="2"/>
        <scheme val="minor"/>
      </rPr>
      <t>Paste Special -&gt; Transpose</t>
    </r>
    <r>
      <rPr>
        <sz val="11"/>
        <color theme="1"/>
        <rFont val="Calibri"/>
        <family val="2"/>
        <scheme val="minor"/>
      </rPr>
      <t xml:space="preserve"> option</t>
    </r>
  </si>
  <si>
    <t>Example Table</t>
  </si>
  <si>
    <t>example</t>
  </si>
  <si>
    <t>shown</t>
  </si>
  <si>
    <t>here</t>
  </si>
  <si>
    <t>It should look like this:</t>
  </si>
  <si>
    <t>Copy the table</t>
  </si>
  <si>
    <t>Select the yellow cell</t>
  </si>
  <si>
    <t>Right Click -&gt; Paste Special -&gt; Transpose</t>
  </si>
  <si>
    <t>Select it -&gt; Ctrl + C</t>
  </si>
  <si>
    <t>Note:</t>
  </si>
  <si>
    <t>There are other paste special options available</t>
  </si>
  <si>
    <t>"Paste Values" is also useful if you only want the values to be copied and not the formulae in the cells</t>
  </si>
  <si>
    <t>Quickly Select Data</t>
  </si>
  <si>
    <t>There are faster ways to select data than using the mouse and dragging the cursor.</t>
  </si>
  <si>
    <r>
      <t xml:space="preserve">Click in the first cell you want to select and hold down </t>
    </r>
    <r>
      <rPr>
        <b/>
        <sz val="11"/>
        <color theme="1"/>
        <rFont val="Calibri"/>
        <family val="2"/>
        <scheme val="minor"/>
      </rPr>
      <t>Ctrl+Shift</t>
    </r>
    <r>
      <rPr>
        <sz val="11"/>
        <color theme="1"/>
        <rFont val="Calibri"/>
        <family val="2"/>
        <scheme val="minor"/>
      </rPr>
      <t xml:space="preserve">, then hit the </t>
    </r>
    <r>
      <rPr>
        <b/>
        <sz val="11"/>
        <color theme="1"/>
        <rFont val="Calibri"/>
        <family val="2"/>
        <scheme val="minor"/>
      </rPr>
      <t>direction button</t>
    </r>
    <r>
      <rPr>
        <sz val="11"/>
        <color theme="1"/>
        <rFont val="Calibri"/>
        <family val="2"/>
        <scheme val="minor"/>
      </rPr>
      <t xml:space="preserve"> which points towards the rest of the data</t>
    </r>
  </si>
  <si>
    <t>Example Data</t>
  </si>
  <si>
    <t>Click in the yellow cell</t>
  </si>
  <si>
    <t>Press Ctrl+Shift+Down to select the first colum</t>
  </si>
  <si>
    <t>Press Ctrl+Shift+Right to select the first row</t>
  </si>
  <si>
    <t>Press one followed by the other to select the whole table</t>
  </si>
  <si>
    <t>Granted, this doesn’t save much time in this case, but if you have thousands of rows of data it can be very helpful</t>
  </si>
  <si>
    <t>Note: Omit the shift key to just move to the last cell in the given direction</t>
  </si>
  <si>
    <t>All of the data until the next empty cell will be selected. If you want to select more, just tap the direction button again.</t>
  </si>
  <si>
    <t>Combine data from cells using &amp;</t>
  </si>
  <si>
    <t>If we want to combine the text in two cells into one cell, we can use the &amp; symbol.</t>
  </si>
  <si>
    <t xml:space="preserve">My name is </t>
  </si>
  <si>
    <t>Richard</t>
  </si>
  <si>
    <t>Combined:</t>
  </si>
  <si>
    <t xml:space="preserve">  &lt;-- highlight this cell to see the formula used</t>
  </si>
  <si>
    <t>Text 1:</t>
  </si>
  <si>
    <t>Text 2:</t>
  </si>
  <si>
    <t>Make text all UPPERCASE or LOWERCASE</t>
  </si>
  <si>
    <t>Sample text:</t>
  </si>
  <si>
    <t xml:space="preserve">  &lt;-- highlight to see formula</t>
  </si>
  <si>
    <t>(57) Ventilation &amp; Fire services - Ground floor</t>
  </si>
  <si>
    <t>Helpful Shortcut:</t>
  </si>
  <si>
    <t xml:space="preserve">  &lt;-- highlight this cell and press "Alt" + "="</t>
  </si>
  <si>
    <t>You can press "Alt" + "=" to quickly sum a range when the cell below the range is selected</t>
  </si>
  <si>
    <t>Quickly Cycle through worksheets</t>
  </si>
  <si>
    <t>Ctrl + Page Up</t>
  </si>
  <si>
    <t>Ctrl + Page Down</t>
  </si>
  <si>
    <t>goes to previous worksheet</t>
  </si>
  <si>
    <t>goes to next worksheet</t>
  </si>
  <si>
    <t>Cycle through worksheets using:</t>
  </si>
  <si>
    <t>Format Painter</t>
  </si>
  <si>
    <t>Use format painter to copy the format (fill, border, font etc) from one cell to another</t>
  </si>
  <si>
    <t>Double click on format painter if you want to apply it to a number of cells</t>
  </si>
  <si>
    <t>Unformatted text</t>
  </si>
  <si>
    <t>italic text</t>
  </si>
  <si>
    <t>bold text</t>
  </si>
  <si>
    <t>custom 1</t>
  </si>
  <si>
    <t>custom 2</t>
  </si>
  <si>
    <t>-&gt;</t>
  </si>
  <si>
    <t>Use format painter to apply the formats below to the unformatted text</t>
  </si>
  <si>
    <t>Note: Format painter can be used to copy an entire column or row's format to other columns or rows</t>
  </si>
  <si>
    <t>Some useful tips and shortcuts for general use</t>
  </si>
  <si>
    <t>General Tips &amp; Shortcuts</t>
  </si>
  <si>
    <t>=LOWER</t>
  </si>
  <si>
    <t>=UPPER</t>
  </si>
  <si>
    <t>Conditional Formatting</t>
  </si>
  <si>
    <t>Use conditional formatting to quickly identify cells that fit a particular criteria</t>
  </si>
  <si>
    <t>There are a number of predefined options which will be suitable for most applications</t>
  </si>
  <si>
    <t>If you have a more specific task, you can create your own rule using the "New Rule…" option</t>
  </si>
  <si>
    <t>You can add multiple rules to the same range (Note that the order of these rules depends on which is applied first - see "Manage Rules")</t>
  </si>
  <si>
    <t>Select a range and click "Manage Rules" to view and edit the current rules applied to that range.</t>
  </si>
  <si>
    <t>Less Than</t>
  </si>
  <si>
    <t>Greater Than or Equal To</t>
  </si>
  <si>
    <t>Above</t>
  </si>
  <si>
    <t>Highlight the range above</t>
  </si>
  <si>
    <t>and select "Manage Rules"</t>
  </si>
  <si>
    <t>Introduction to Macros</t>
  </si>
  <si>
    <t>An Introduction to Macros</t>
  </si>
  <si>
    <t>You can do whatever you want with macros, once you know how…</t>
  </si>
  <si>
    <t>Macros are programs that are run within Excel</t>
  </si>
  <si>
    <t>They can be incredibly simple or incredibly complex.</t>
  </si>
  <si>
    <t>And they can do pretty much anything.</t>
  </si>
  <si>
    <t>Tedious repetitive tasks can usually be done by writing a relatively straightforward macro.</t>
  </si>
  <si>
    <t>Before you begin, there's a couple of things you must do for your workbook to be able to use macros</t>
  </si>
  <si>
    <t>Firstly, save your workbook as a macro enable document.</t>
  </si>
  <si>
    <t>Next, you need to show the "Developer" Tab in your workbook.</t>
  </si>
  <si>
    <r>
      <t xml:space="preserve">Go to </t>
    </r>
    <r>
      <rPr>
        <b/>
        <sz val="11"/>
        <color theme="1"/>
        <rFont val="Calibri"/>
        <family val="2"/>
        <scheme val="minor"/>
      </rPr>
      <t>File</t>
    </r>
    <r>
      <rPr>
        <sz val="11"/>
        <color theme="1"/>
        <rFont val="Calibri"/>
        <family val="2"/>
        <scheme val="minor"/>
      </rPr>
      <t xml:space="preserve"> -&gt; </t>
    </r>
    <r>
      <rPr>
        <b/>
        <sz val="11"/>
        <color theme="1"/>
        <rFont val="Calibri"/>
        <family val="2"/>
        <scheme val="minor"/>
      </rPr>
      <t>Options</t>
    </r>
  </si>
  <si>
    <r>
      <t xml:space="preserve">In the window that appears, navigate to </t>
    </r>
    <r>
      <rPr>
        <b/>
        <sz val="11"/>
        <color theme="1"/>
        <rFont val="Calibri"/>
        <family val="2"/>
        <scheme val="minor"/>
      </rPr>
      <t xml:space="preserve">Customise Ribbon </t>
    </r>
    <r>
      <rPr>
        <sz val="11"/>
        <color theme="1"/>
        <rFont val="Calibri"/>
        <family val="2"/>
        <scheme val="minor"/>
      </rPr>
      <t xml:space="preserve">and select the </t>
    </r>
    <r>
      <rPr>
        <b/>
        <sz val="11"/>
        <color theme="1"/>
        <rFont val="Calibri"/>
        <family val="2"/>
        <scheme val="minor"/>
      </rPr>
      <t>Developer</t>
    </r>
    <r>
      <rPr>
        <sz val="11"/>
        <color theme="1"/>
        <rFont val="Calibri"/>
        <family val="2"/>
        <scheme val="minor"/>
      </rPr>
      <t xml:space="preserve"> checkbox as shown below (Excel 2013)</t>
    </r>
  </si>
  <si>
    <t>You should now have the Developer Tab in your workbook as shown below:</t>
  </si>
  <si>
    <t>This tutorial is continued in the "Visual Basic" window.</t>
  </si>
  <si>
    <t>Select visual basic from the developer tab and navigate to the Introduction Module in the project explorer.</t>
  </si>
  <si>
    <t>If the project explorer is not shown, go to View - Project Explorer (or press Ctrl + R)</t>
  </si>
  <si>
    <r>
      <t xml:space="preserve">this example sums values from range 2 that are greater than 20 </t>
    </r>
    <r>
      <rPr>
        <b/>
        <sz val="11"/>
        <color theme="1"/>
        <rFont val="Calibri"/>
        <family val="2"/>
        <scheme val="minor"/>
      </rPr>
      <t>but only sums them if</t>
    </r>
    <r>
      <rPr>
        <sz val="11"/>
        <color theme="1"/>
        <rFont val="Calibri"/>
        <family val="2"/>
        <scheme val="minor"/>
      </rPr>
      <t xml:space="preserve"> range 1 is Y</t>
    </r>
  </si>
  <si>
    <t>Enter a value in the yellow box and click the button to the right</t>
  </si>
  <si>
    <t>For use with displayData() macro (refer to the visual basic window for explanation)</t>
  </si>
  <si>
    <t>Note that this button is just a shape (insert -&gt; shape) with an assigned macro (right click - &gt; assign macro)</t>
  </si>
  <si>
    <t>Alternatively, go to Developer Tab -&gt; Macros and select displayData() and press run</t>
  </si>
  <si>
    <t xml:space="preserve">    &lt;- change the displayData() macro so that the data in this cell is displayed instead</t>
  </si>
  <si>
    <t>There are a huge range of graphs and graphing options available in excel.</t>
  </si>
  <si>
    <t>Just because there are complicated options available, doesn't mean you should use them.</t>
  </si>
  <si>
    <t>Bar Chart</t>
  </si>
  <si>
    <t>Graphs &amp; Charts</t>
  </si>
  <si>
    <t>Team</t>
  </si>
  <si>
    <t>Points</t>
  </si>
  <si>
    <t>Ireland</t>
  </si>
  <si>
    <t>France</t>
  </si>
  <si>
    <t>Italy</t>
  </si>
  <si>
    <t>Romania</t>
  </si>
  <si>
    <t>Canada</t>
  </si>
  <si>
    <t>Bonus</t>
  </si>
  <si>
    <t>Total</t>
  </si>
  <si>
    <t>Regular</t>
  </si>
  <si>
    <t>Bar Chart with secondary vertical axis</t>
  </si>
  <si>
    <t>Tackles</t>
  </si>
  <si>
    <t>Tackles/Game</t>
  </si>
  <si>
    <t>Primary</t>
  </si>
  <si>
    <t>Secondary</t>
  </si>
  <si>
    <t>(Spacers)</t>
  </si>
  <si>
    <t>2D Column (Clustered)</t>
  </si>
  <si>
    <t>2D Column (Stacked)</t>
  </si>
  <si>
    <t>Add the data to the chart below:</t>
  </si>
  <si>
    <t>What the chart should look like:</t>
  </si>
  <si>
    <t>Examples of how different graphs can be used</t>
  </si>
  <si>
    <t>Round decimals or significant numbers</t>
  </si>
  <si>
    <t>Original</t>
  </si>
  <si>
    <t>=ROUND(B130,1)</t>
  </si>
  <si>
    <t>=CEILING(B133,10)</t>
  </si>
  <si>
    <t>Formula</t>
  </si>
  <si>
    <t>=FLOOR(B135,100)</t>
  </si>
  <si>
    <t>VLOOKUP always searches the leftmost column of the specified table to find the lookup value</t>
  </si>
  <si>
    <t xml:space="preserve">HLOOKUP is similar to VLOOKUP (horizontal rather than vertical). </t>
  </si>
  <si>
    <t>Note: HLOOKUP can be used when you want to search rows instead of columns.</t>
  </si>
  <si>
    <t>=INDEX(Return_value_range, MATCH(Lookup_value, Lookup_value_range, Match_type))</t>
  </si>
  <si>
    <t>What if I want to search the second or third columns?        (INDEX-MATCH)</t>
  </si>
  <si>
    <t>For example, if we want to find a radiator for a certain kW rating we could do it as follows:</t>
  </si>
  <si>
    <t>Luckily, we can combine the funtions INDEX &amp; MATCH instead as shown below:</t>
  </si>
  <si>
    <t xml:space="preserve"> &lt;-- The resulting radiator reference is shown here </t>
  </si>
  <si>
    <t xml:space="preserve"> &lt;-- Enter the kW rating required (lookup_value)</t>
  </si>
  <si>
    <r>
      <t xml:space="preserve"> &lt;-- With a slight adjustment, we can return the reference of the radiator with a kW rating </t>
    </r>
    <r>
      <rPr>
        <b/>
        <sz val="11"/>
        <color theme="1"/>
        <rFont val="Calibri"/>
        <family val="2"/>
        <scheme val="minor"/>
      </rPr>
      <t>greater than or equal to</t>
    </r>
    <r>
      <rPr>
        <sz val="11"/>
        <color theme="1"/>
        <rFont val="Calibri"/>
        <family val="2"/>
        <scheme val="minor"/>
      </rPr>
      <t xml:space="preserve"> that required</t>
    </r>
  </si>
  <si>
    <t xml:space="preserve">       (highlight the cell to see the INDEX-MATCH function)</t>
  </si>
  <si>
    <t xml:space="preserve">       (highlight the cell to see the modified INDEX-MATCH function)</t>
  </si>
  <si>
    <r>
      <t xml:space="preserve">        Note: in this example, the kW rating must </t>
    </r>
    <r>
      <rPr>
        <b/>
        <sz val="11"/>
        <color theme="1"/>
        <rFont val="Calibri"/>
        <family val="2"/>
        <scheme val="minor"/>
      </rPr>
      <t>EXACTLY match</t>
    </r>
    <r>
      <rPr>
        <sz val="11"/>
        <color theme="1"/>
        <rFont val="Calibri"/>
        <family val="2"/>
        <scheme val="minor"/>
      </rPr>
      <t xml:space="preserve"> the kW rating in the table</t>
    </r>
  </si>
  <si>
    <r>
      <t xml:space="preserve">       Note: there seems to be an error using the -1 for</t>
    </r>
    <r>
      <rPr>
        <i/>
        <sz val="11"/>
        <color theme="1"/>
        <rFont val="Calibri"/>
        <family val="2"/>
        <scheme val="minor"/>
      </rPr>
      <t xml:space="preserve"> greater than or equal to</t>
    </r>
    <r>
      <rPr>
        <sz val="11"/>
        <color theme="1"/>
        <rFont val="Calibri"/>
        <family val="2"/>
        <scheme val="minor"/>
      </rPr>
      <t xml:space="preserve"> parameter. A quick google told me to include a LOOKUP function as above</t>
    </r>
  </si>
  <si>
    <t>Sometimes the combined functions have limitations.</t>
  </si>
  <si>
    <t>NB: Remember to test out your formula to ensure the results are as expected.</t>
  </si>
  <si>
    <t>In the example above, if I want a radiator that will give me 0.5kW (which is lower than the first value) it will throw an error</t>
  </si>
  <si>
    <t>Also, if my kW ratings weren't in descending order, I could get some unexpected results.</t>
  </si>
  <si>
    <t>The index-match functions can be to do the same but they can search any column</t>
  </si>
  <si>
    <t>The Vlookup &amp; Index-Match Functions</t>
  </si>
  <si>
    <t>The VLOOKUP &amp; INDEX-MATCH Functions</t>
  </si>
  <si>
    <t>If we want to search for a value in a different column (i.e. not the first) we would have to rearrange our table to use the VLOOKUP function</t>
  </si>
  <si>
    <t>Useful for cycling through equipment schedules</t>
  </si>
  <si>
    <t>Sample Data - 2015 RWC Pool D</t>
  </si>
  <si>
    <t>Only use 3D if you need an extra dimension to show your data. Using it to make it when you don't need to just confuses things.</t>
  </si>
  <si>
    <t>Pie Chart</t>
  </si>
  <si>
    <t>Pie charts are useful for showing the breakdown of something.</t>
  </si>
  <si>
    <t>Sample Data:</t>
  </si>
  <si>
    <t>Classrooms</t>
  </si>
  <si>
    <t>Orientation</t>
  </si>
  <si>
    <t>North</t>
  </si>
  <si>
    <t>East</t>
  </si>
  <si>
    <t xml:space="preserve">South </t>
  </si>
  <si>
    <t>West</t>
  </si>
  <si>
    <t>Total:</t>
  </si>
  <si>
    <t>We're usually only interested in the average daylight factor in each room</t>
  </si>
  <si>
    <t>See example of use with plant submittals workbook - Cillian McDonagh</t>
  </si>
  <si>
    <r>
      <t xml:space="preserve">You can use more detailed conditions for summing cells by using the </t>
    </r>
    <r>
      <rPr>
        <b/>
        <sz val="11"/>
        <color theme="1"/>
        <rFont val="Calibri"/>
        <family val="2"/>
        <scheme val="minor"/>
      </rPr>
      <t>SUMIF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SUMIFS</t>
    </r>
    <r>
      <rPr>
        <sz val="11"/>
        <color theme="1"/>
        <rFont val="Calibri"/>
        <family val="2"/>
        <scheme val="minor"/>
      </rPr>
      <t xml:space="preserve"> functions</t>
    </r>
  </si>
  <si>
    <t>Count</t>
  </si>
  <si>
    <t>Range 3</t>
  </si>
  <si>
    <t>=SUMIF(F54:F57,"=Y",B54:D57)</t>
  </si>
  <si>
    <t xml:space="preserve">        Excel will allow you to use the SUM function but it will give you the wrong answer!</t>
  </si>
  <si>
    <t>=SUMIF(F54:F57,"=Y",C54:C57)+SUMIF(F54:F57,"=Y",B54:B57)+SUMIF(F54:F57,"=Y",D54:D57)</t>
  </si>
  <si>
    <t>Alternatively, you could repeat the criteria range so that there are are equal number of sum columns and criteria columns</t>
  </si>
  <si>
    <t>NB: When you want to add up values from multiple columns based on a single column, you must use multiple SUM functions.</t>
  </si>
  <si>
    <t>Your graph should be simple, while providing as much information as possible.</t>
  </si>
  <si>
    <t>Good Example:</t>
  </si>
  <si>
    <t>Bad Example:</t>
  </si>
  <si>
    <t>Generate a Random Number</t>
  </si>
  <si>
    <t>=RANDBETWEEN(bottom, top)</t>
  </si>
  <si>
    <t>NB: A new random number is calculated each time an action occurs in the workbook (enter data, apply formula, undo, copy, paste etc)</t>
  </si>
  <si>
    <t>If we want to randomly generate a number between two values</t>
  </si>
  <si>
    <t xml:space="preserve">    &lt;- change the value of this cell and press enter</t>
  </si>
  <si>
    <t>= if set to FALSE, an exact match is required, if omitted or set to TRUE, and approximate match will be returned</t>
  </si>
  <si>
    <t>To create a bar chart with a secondary axis (with the bars side by side instead of on top of eachother)</t>
  </si>
  <si>
    <t>Refer to this youtube video:</t>
  </si>
  <si>
    <t>https://www.youtube.com/watch?v=dSKEl29Yn6k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</si>
</sst>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0.0"/>
    <numFmt numFmtId="166" formatCode="[$€-1809]#,##0"/>
    <numFmt numFmtId="167" formatCode="[$€-83C]#,##0.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4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color theme="1"/>
      <name val="Arial"/>
      <family val="2"/>
    </font>
    <font>
      <b/>
      <sz val="7.5"/>
      <color theme="1"/>
      <name val="Arial"/>
      <family val="2"/>
    </font>
    <font>
      <sz val="7.5"/>
      <color theme="1"/>
      <name val="Arial"/>
      <family val="2"/>
    </font>
    <font>
      <b/>
      <sz val="18"/>
      <color theme="1"/>
      <name val="Arial"/>
      <family val="2"/>
    </font>
    <font>
      <b/>
      <sz val="6"/>
      <color theme="1"/>
      <name val="Arial"/>
      <family val="2"/>
    </font>
    <font>
      <sz val="6"/>
      <color theme="1"/>
      <name val="Arial"/>
      <family val="2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20" fillId="9" borderId="0" applyNumberFormat="0" applyBorder="0" applyAlignment="0" applyProtection="0"/>
    <xf numFmtId="0" fontId="21" fillId="10" borderId="0" applyNumberFormat="0" applyBorder="0" applyAlignment="0" applyProtection="0"/>
  </cellStyleXfs>
  <cellXfs count="229">
    <xf numFmtId="0" fontId="0" fillId="0" borderId="0" xfId="0"/>
    <xf numFmtId="0" fontId="0" fillId="0" borderId="0" xfId="0" quotePrefix="1"/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0" xfId="0" applyFont="1" applyAlignment="1"/>
    <xf numFmtId="0" fontId="1" fillId="0" borderId="0" xfId="0" applyFont="1" applyAlignment="1">
      <alignment wrapText="1"/>
    </xf>
    <xf numFmtId="0" fontId="1" fillId="0" borderId="7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0" fillId="2" borderId="7" xfId="0" applyFill="1" applyBorder="1"/>
    <xf numFmtId="0" fontId="0" fillId="2" borderId="4" xfId="0" applyFill="1" applyBorder="1"/>
    <xf numFmtId="0" fontId="0" fillId="2" borderId="9" xfId="0" applyFill="1" applyBorder="1"/>
    <xf numFmtId="0" fontId="0" fillId="0" borderId="14" xfId="0" applyBorder="1" applyAlignment="1">
      <alignment horizontal="center"/>
    </xf>
    <xf numFmtId="0" fontId="0" fillId="0" borderId="0" xfId="0"/>
    <xf numFmtId="0" fontId="1" fillId="0" borderId="0" xfId="0" quotePrefix="1" applyFont="1"/>
    <xf numFmtId="0" fontId="0" fillId="2" borderId="13" xfId="0" applyFill="1" applyBorder="1"/>
    <xf numFmtId="0" fontId="0" fillId="2" borderId="10" xfId="0" applyFill="1" applyBorder="1"/>
    <xf numFmtId="0" fontId="0" fillId="0" borderId="10" xfId="0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/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2" borderId="8" xfId="0" applyFill="1" applyBorder="1"/>
    <xf numFmtId="0" fontId="0" fillId="2" borderId="1" xfId="0" applyFill="1" applyBorder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quotePrefix="1" applyFont="1"/>
    <xf numFmtId="0" fontId="0" fillId="2" borderId="21" xfId="0" applyFill="1" applyBorder="1"/>
    <xf numFmtId="0" fontId="0" fillId="2" borderId="23" xfId="0" applyFill="1" applyBorder="1"/>
    <xf numFmtId="1" fontId="0" fillId="2" borderId="21" xfId="0" applyNumberFormat="1" applyFill="1" applyBorder="1"/>
    <xf numFmtId="1" fontId="0" fillId="2" borderId="22" xfId="0" applyNumberFormat="1" applyFill="1" applyBorder="1"/>
    <xf numFmtId="1" fontId="0" fillId="2" borderId="23" xfId="0" applyNumberFormat="1" applyFill="1" applyBorder="1"/>
    <xf numFmtId="1" fontId="0" fillId="0" borderId="21" xfId="0" applyNumberFormat="1" applyBorder="1" applyAlignment="1">
      <alignment horizontal="center" vertical="center"/>
    </xf>
    <xf numFmtId="1" fontId="0" fillId="0" borderId="22" xfId="0" applyNumberFormat="1" applyBorder="1" applyAlignment="1">
      <alignment horizontal="center" vertical="center"/>
    </xf>
    <xf numFmtId="1" fontId="0" fillId="0" borderId="23" xfId="0" applyNumberFormat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/>
    <xf numFmtId="0" fontId="0" fillId="0" borderId="0" xfId="0"/>
    <xf numFmtId="0" fontId="0" fillId="3" borderId="11" xfId="0" applyFill="1" applyBorder="1"/>
    <xf numFmtId="0" fontId="0" fillId="3" borderId="12" xfId="0" applyFill="1" applyBorder="1"/>
    <xf numFmtId="0" fontId="0" fillId="3" borderId="7" xfId="0" applyFill="1" applyBorder="1"/>
    <xf numFmtId="0" fontId="0" fillId="3" borderId="4" xfId="0" applyFill="1" applyBorder="1"/>
    <xf numFmtId="0" fontId="0" fillId="3" borderId="9" xfId="0" applyFill="1" applyBorder="1"/>
    <xf numFmtId="0" fontId="0" fillId="3" borderId="14" xfId="0" applyFill="1" applyBorder="1"/>
    <xf numFmtId="0" fontId="0" fillId="3" borderId="8" xfId="0" applyFill="1" applyBorder="1"/>
    <xf numFmtId="0" fontId="0" fillId="3" borderId="10" xfId="0" applyFill="1" applyBorder="1"/>
    <xf numFmtId="0" fontId="0" fillId="0" borderId="0" xfId="0" applyAlignment="1">
      <alignment horizontal="center"/>
    </xf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0" fontId="0" fillId="4" borderId="21" xfId="0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28" xfId="0" applyFill="1" applyBorder="1"/>
    <xf numFmtId="0" fontId="0" fillId="4" borderId="29" xfId="0" applyFill="1" applyBorder="1"/>
    <xf numFmtId="0" fontId="0" fillId="4" borderId="30" xfId="0" applyFill="1" applyBorder="1"/>
    <xf numFmtId="0" fontId="0" fillId="4" borderId="1" xfId="0" applyFill="1" applyBorder="1"/>
    <xf numFmtId="0" fontId="0" fillId="3" borderId="31" xfId="0" applyFill="1" applyBorder="1"/>
    <xf numFmtId="0" fontId="0" fillId="3" borderId="13" xfId="0" applyFill="1" applyBorder="1"/>
    <xf numFmtId="0" fontId="0" fillId="5" borderId="0" xfId="0" applyFill="1"/>
    <xf numFmtId="0" fontId="1" fillId="5" borderId="0" xfId="0" applyFont="1" applyFill="1"/>
    <xf numFmtId="0" fontId="0" fillId="0" borderId="0" xfId="0"/>
    <xf numFmtId="0" fontId="0" fillId="0" borderId="4" xfId="0" applyBorder="1" applyAlignment="1">
      <alignment horizontal="left"/>
    </xf>
    <xf numFmtId="0" fontId="0" fillId="6" borderId="4" xfId="0" applyFill="1" applyBorder="1"/>
    <xf numFmtId="0" fontId="0" fillId="6" borderId="4" xfId="0" applyFill="1" applyBorder="1" applyAlignment="1">
      <alignment horizontal="left"/>
    </xf>
    <xf numFmtId="0" fontId="0" fillId="0" borderId="4" xfId="0" quotePrefix="1" applyBorder="1"/>
    <xf numFmtId="0" fontId="1" fillId="0" borderId="0" xfId="0" applyFont="1" applyFill="1" applyBorder="1"/>
    <xf numFmtId="0" fontId="0" fillId="0" borderId="0" xfId="0"/>
    <xf numFmtId="0" fontId="10" fillId="0" borderId="0" xfId="0" applyFont="1"/>
    <xf numFmtId="0" fontId="12" fillId="2" borderId="36" xfId="0" applyFont="1" applyFill="1" applyBorder="1" applyAlignment="1">
      <alignment wrapText="1"/>
    </xf>
    <xf numFmtId="0" fontId="13" fillId="0" borderId="0" xfId="0" applyFont="1"/>
    <xf numFmtId="0" fontId="14" fillId="2" borderId="32" xfId="0" applyFont="1" applyFill="1" applyBorder="1" applyAlignment="1">
      <alignment horizontal="center" vertical="center" wrapText="1"/>
    </xf>
    <xf numFmtId="0" fontId="14" fillId="2" borderId="36" xfId="0" applyFont="1" applyFill="1" applyBorder="1" applyAlignment="1">
      <alignment horizontal="center" vertical="center" wrapText="1"/>
    </xf>
    <xf numFmtId="0" fontId="14" fillId="2" borderId="35" xfId="0" applyFont="1" applyFill="1" applyBorder="1" applyAlignment="1">
      <alignment horizontal="center" vertical="center" wrapText="1"/>
    </xf>
    <xf numFmtId="0" fontId="15" fillId="2" borderId="32" xfId="0" applyFont="1" applyFill="1" applyBorder="1" applyAlignment="1">
      <alignment wrapText="1"/>
    </xf>
    <xf numFmtId="0" fontId="15" fillId="2" borderId="38" xfId="0" applyFont="1" applyFill="1" applyBorder="1" applyAlignment="1">
      <alignment wrapText="1"/>
    </xf>
    <xf numFmtId="0" fontId="15" fillId="2" borderId="36" xfId="0" applyFont="1" applyFill="1" applyBorder="1" applyAlignment="1">
      <alignment wrapText="1"/>
    </xf>
    <xf numFmtId="0" fontId="15" fillId="2" borderId="35" xfId="0" applyFont="1" applyFill="1" applyBorder="1" applyAlignment="1">
      <alignment wrapText="1"/>
    </xf>
    <xf numFmtId="0" fontId="12" fillId="2" borderId="36" xfId="0" applyFont="1" applyFill="1" applyBorder="1" applyAlignment="1"/>
    <xf numFmtId="0" fontId="11" fillId="2" borderId="32" xfId="0" applyFont="1" applyFill="1" applyBorder="1" applyAlignment="1">
      <alignment vertical="center"/>
    </xf>
    <xf numFmtId="0" fontId="11" fillId="2" borderId="33" xfId="0" applyFont="1" applyFill="1" applyBorder="1" applyAlignment="1">
      <alignment vertical="center"/>
    </xf>
    <xf numFmtId="0" fontId="11" fillId="2" borderId="34" xfId="0" applyFont="1" applyFill="1" applyBorder="1" applyAlignment="1">
      <alignment vertical="center"/>
    </xf>
    <xf numFmtId="0" fontId="11" fillId="2" borderId="35" xfId="0" applyFont="1" applyFill="1" applyBorder="1" applyAlignment="1">
      <alignment vertical="center"/>
    </xf>
    <xf numFmtId="0" fontId="11" fillId="2" borderId="36" xfId="0" applyFont="1" applyFill="1" applyBorder="1" applyAlignment="1">
      <alignment horizontal="center" vertical="center"/>
    </xf>
    <xf numFmtId="0" fontId="0" fillId="0" borderId="39" xfId="0" applyBorder="1"/>
    <xf numFmtId="0" fontId="0" fillId="0" borderId="40" xfId="0" applyBorder="1"/>
    <xf numFmtId="0" fontId="0" fillId="0" borderId="40" xfId="0" applyBorder="1" applyAlignment="1"/>
    <xf numFmtId="0" fontId="0" fillId="0" borderId="40" xfId="0" applyBorder="1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9" xfId="0" applyBorder="1"/>
    <xf numFmtId="0" fontId="0" fillId="0" borderId="25" xfId="0" applyBorder="1"/>
    <xf numFmtId="164" fontId="0" fillId="0" borderId="27" xfId="2" applyNumberFormat="1" applyFont="1" applyBorder="1"/>
    <xf numFmtId="0" fontId="1" fillId="0" borderId="28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2" fillId="0" borderId="0" xfId="0" applyFont="1"/>
    <xf numFmtId="0" fontId="0" fillId="0" borderId="4" xfId="0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6" borderId="1" xfId="0" applyNumberFormat="1" applyFill="1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0" fontId="0" fillId="5" borderId="0" xfId="0" applyFill="1"/>
    <xf numFmtId="0" fontId="0" fillId="0" borderId="0" xfId="0"/>
    <xf numFmtId="0" fontId="0" fillId="0" borderId="0" xfId="0"/>
    <xf numFmtId="1" fontId="0" fillId="6" borderId="1" xfId="0" applyNumberFormat="1" applyFill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0" fontId="0" fillId="0" borderId="0" xfId="0" applyFont="1"/>
    <xf numFmtId="0" fontId="16" fillId="0" borderId="0" xfId="0" applyFont="1"/>
    <xf numFmtId="0" fontId="0" fillId="0" borderId="0" xfId="0"/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7" fillId="0" borderId="0" xfId="0" applyFont="1"/>
    <xf numFmtId="0" fontId="0" fillId="0" borderId="31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3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11" fontId="0" fillId="0" borderId="0" xfId="0" applyNumberFormat="1"/>
    <xf numFmtId="0" fontId="4" fillId="0" borderId="0" xfId="0" applyFont="1"/>
    <xf numFmtId="0" fontId="18" fillId="3" borderId="1" xfId="0" applyFont="1" applyFill="1" applyBorder="1"/>
    <xf numFmtId="0" fontId="19" fillId="8" borderId="44" xfId="0" applyFont="1" applyFill="1" applyBorder="1"/>
    <xf numFmtId="0" fontId="0" fillId="0" borderId="0" xfId="0" quotePrefix="1" applyAlignment="1">
      <alignment horizontal="center" vertical="center"/>
    </xf>
    <xf numFmtId="0" fontId="0" fillId="0" borderId="0" xfId="0"/>
    <xf numFmtId="10" fontId="0" fillId="0" borderId="0" xfId="0" applyNumberFormat="1"/>
    <xf numFmtId="164" fontId="0" fillId="0" borderId="45" xfId="2" applyNumberFormat="1" applyFont="1" applyBorder="1"/>
    <xf numFmtId="164" fontId="21" fillId="10" borderId="1" xfId="2" applyNumberFormat="1" applyFont="1" applyFill="1" applyBorder="1" applyAlignment="1">
      <alignment horizontal="center" vertical="center"/>
    </xf>
    <xf numFmtId="164" fontId="20" fillId="9" borderId="1" xfId="2" applyNumberFormat="1" applyFont="1" applyFill="1" applyBorder="1" applyAlignment="1">
      <alignment horizontal="center" vertical="center"/>
    </xf>
    <xf numFmtId="164" fontId="22" fillId="11" borderId="1" xfId="2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0" fillId="0" borderId="21" xfId="2" applyNumberFormat="1" applyFont="1" applyBorder="1" applyAlignment="1">
      <alignment horizontal="center" vertical="center"/>
    </xf>
    <xf numFmtId="164" fontId="0" fillId="0" borderId="22" xfId="2" applyNumberFormat="1" applyFont="1" applyBorder="1" applyAlignment="1">
      <alignment horizontal="center" vertical="center"/>
    </xf>
    <xf numFmtId="164" fontId="0" fillId="0" borderId="23" xfId="2" applyNumberFormat="1" applyFont="1" applyBorder="1" applyAlignment="1">
      <alignment horizontal="center" vertical="center"/>
    </xf>
    <xf numFmtId="0" fontId="0" fillId="5" borderId="0" xfId="0" applyFill="1"/>
    <xf numFmtId="0" fontId="0" fillId="0" borderId="0" xfId="0"/>
    <xf numFmtId="0" fontId="0" fillId="0" borderId="7" xfId="0" quotePrefix="1" applyBorder="1" applyAlignment="1">
      <alignment horizontal="center" vertical="center"/>
    </xf>
    <xf numFmtId="0" fontId="0" fillId="0" borderId="9" xfId="0" quotePrefix="1" applyBorder="1" applyAlignment="1">
      <alignment horizontal="center" vertical="center"/>
    </xf>
    <xf numFmtId="1" fontId="0" fillId="0" borderId="0" xfId="0" applyNumberFormat="1"/>
    <xf numFmtId="0" fontId="0" fillId="0" borderId="0" xfId="0"/>
    <xf numFmtId="167" fontId="0" fillId="0" borderId="0" xfId="0" applyNumberFormat="1" applyAlignment="1">
      <alignment horizontal="center" vertical="center"/>
    </xf>
    <xf numFmtId="0" fontId="17" fillId="0" borderId="0" xfId="0" applyFont="1" applyAlignment="1">
      <alignment horizontal="center"/>
    </xf>
    <xf numFmtId="0" fontId="0" fillId="0" borderId="0" xfId="0"/>
    <xf numFmtId="167" fontId="0" fillId="0" borderId="0" xfId="0" applyNumberFormat="1" applyAlignment="1">
      <alignment horizontal="center" vertical="center"/>
    </xf>
    <xf numFmtId="0" fontId="0" fillId="0" borderId="0" xfId="0"/>
    <xf numFmtId="0" fontId="0" fillId="0" borderId="0" xfId="0" applyFill="1" applyBorder="1"/>
    <xf numFmtId="0" fontId="0" fillId="4" borderId="4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65" fontId="0" fillId="4" borderId="4" xfId="0" applyNumberFormat="1" applyFill="1" applyBorder="1" applyAlignment="1">
      <alignment horizontal="center" vertical="center"/>
    </xf>
    <xf numFmtId="14" fontId="1" fillId="0" borderId="0" xfId="0" applyNumberFormat="1" applyFont="1" applyAlignment="1">
      <alignment horizontal="left"/>
    </xf>
    <xf numFmtId="0" fontId="0" fillId="0" borderId="0" xfId="0"/>
    <xf numFmtId="0" fontId="1" fillId="0" borderId="0" xfId="0" applyFont="1" applyAlignment="1">
      <alignment horizontal="left"/>
    </xf>
    <xf numFmtId="0" fontId="0" fillId="0" borderId="46" xfId="0" applyBorder="1"/>
    <xf numFmtId="9" fontId="0" fillId="0" borderId="0" xfId="2" applyFont="1" applyAlignment="1">
      <alignment horizontal="center"/>
    </xf>
    <xf numFmtId="0" fontId="0" fillId="0" borderId="0" xfId="0"/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21" fillId="10" borderId="1" xfId="4" applyBorder="1" applyAlignment="1">
      <alignment horizontal="center"/>
    </xf>
    <xf numFmtId="0" fontId="20" fillId="9" borderId="1" xfId="3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5" fillId="0" borderId="0" xfId="1"/>
    <xf numFmtId="0" fontId="0" fillId="5" borderId="0" xfId="0" applyFill="1"/>
    <xf numFmtId="0" fontId="6" fillId="5" borderId="0" xfId="1" applyFont="1" applyFill="1"/>
    <xf numFmtId="0" fontId="2" fillId="3" borderId="18" xfId="0" applyFont="1" applyFill="1" applyBorder="1"/>
    <xf numFmtId="0" fontId="2" fillId="3" borderId="19" xfId="0" applyFont="1" applyFill="1" applyBorder="1"/>
    <xf numFmtId="0" fontId="0" fillId="5" borderId="24" xfId="0" applyFill="1" applyBorder="1"/>
    <xf numFmtId="0" fontId="7" fillId="5" borderId="0" xfId="0" applyFont="1" applyFill="1"/>
    <xf numFmtId="0" fontId="8" fillId="5" borderId="18" xfId="0" applyFont="1" applyFill="1" applyBorder="1"/>
    <xf numFmtId="0" fontId="8" fillId="5" borderId="19" xfId="0" applyFont="1" applyFill="1" applyBorder="1"/>
    <xf numFmtId="0" fontId="0" fillId="0" borderId="0" xfId="0"/>
    <xf numFmtId="0" fontId="17" fillId="0" borderId="0" xfId="0" applyFont="1" applyAlignment="1">
      <alignment horizontal="center"/>
    </xf>
    <xf numFmtId="167" fontId="0" fillId="0" borderId="0" xfId="0" applyNumberFormat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" fillId="0" borderId="11" xfId="0" applyFont="1" applyBorder="1"/>
    <xf numFmtId="0" fontId="1" fillId="0" borderId="12" xfId="0" applyFont="1" applyBorder="1"/>
    <xf numFmtId="0" fontId="1" fillId="0" borderId="9" xfId="0" applyFont="1" applyBorder="1"/>
    <xf numFmtId="0" fontId="1" fillId="0" borderId="14" xfId="0" applyFont="1" applyBorder="1"/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4" fillId="2" borderId="32" xfId="0" applyFont="1" applyFill="1" applyBorder="1" applyAlignment="1">
      <alignment horizontal="center" vertical="center" wrapText="1"/>
    </xf>
    <xf numFmtId="0" fontId="14" fillId="2" borderId="35" xfId="0" applyFont="1" applyFill="1" applyBorder="1" applyAlignment="1">
      <alignment horizontal="center" vertical="center" wrapText="1"/>
    </xf>
    <xf numFmtId="0" fontId="14" fillId="2" borderId="33" xfId="0" applyFont="1" applyFill="1" applyBorder="1" applyAlignment="1">
      <alignment horizontal="center" vertical="center" wrapText="1"/>
    </xf>
    <xf numFmtId="0" fontId="14" fillId="2" borderId="37" xfId="0" applyFont="1" applyFill="1" applyBorder="1" applyAlignment="1">
      <alignment horizontal="center" vertical="center" wrapText="1"/>
    </xf>
    <xf numFmtId="0" fontId="14" fillId="2" borderId="34" xfId="0" applyFont="1" applyFill="1" applyBorder="1" applyAlignment="1">
      <alignment horizontal="center" vertical="center" wrapText="1"/>
    </xf>
    <xf numFmtId="0" fontId="15" fillId="2" borderId="32" xfId="0" applyFont="1" applyFill="1" applyBorder="1" applyAlignment="1">
      <alignment wrapText="1"/>
    </xf>
    <xf numFmtId="0" fontId="15" fillId="2" borderId="38" xfId="0" applyFont="1" applyFill="1" applyBorder="1" applyAlignment="1">
      <alignment wrapText="1"/>
    </xf>
    <xf numFmtId="0" fontId="15" fillId="2" borderId="35" xfId="0" applyFont="1" applyFill="1" applyBorder="1" applyAlignment="1">
      <alignment wrapText="1"/>
    </xf>
    <xf numFmtId="10" fontId="15" fillId="2" borderId="32" xfId="0" applyNumberFormat="1" applyFont="1" applyFill="1" applyBorder="1" applyAlignment="1">
      <alignment wrapText="1"/>
    </xf>
    <xf numFmtId="10" fontId="15" fillId="2" borderId="38" xfId="0" applyNumberFormat="1" applyFont="1" applyFill="1" applyBorder="1" applyAlignment="1">
      <alignment wrapText="1"/>
    </xf>
    <xf numFmtId="10" fontId="15" fillId="2" borderId="35" xfId="0" applyNumberFormat="1" applyFont="1" applyFill="1" applyBorder="1" applyAlignment="1">
      <alignment wrapText="1"/>
    </xf>
  </cellXfs>
  <cellStyles count="5">
    <cellStyle name="Bad" xfId="4" builtinId="27"/>
    <cellStyle name="Good" xfId="3" builtinId="26"/>
    <cellStyle name="Hyperlink" xfId="1" builtinId="8"/>
    <cellStyle name="Normal" xfId="0" builtinId="0"/>
    <cellStyle name="Percent" xfId="2" builtinId="5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Graphs!$C$18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Graphs!$B$19:$B$23</c:f>
              <c:strCache>
                <c:ptCount val="5"/>
                <c:pt idx="0">
                  <c:v>Ireland</c:v>
                </c:pt>
                <c:pt idx="1">
                  <c:v>France</c:v>
                </c:pt>
                <c:pt idx="2">
                  <c:v>Italy</c:v>
                </c:pt>
                <c:pt idx="3">
                  <c:v>Romania</c:v>
                </c:pt>
                <c:pt idx="4">
                  <c:v>Canada</c:v>
                </c:pt>
              </c:strCache>
            </c:strRef>
          </c:cat>
          <c:val>
            <c:numRef>
              <c:f>Graphs!$C$19:$C$23</c:f>
              <c:numCache>
                <c:formatCode>General</c:formatCode>
                <c:ptCount val="5"/>
                <c:pt idx="0">
                  <c:v>18</c:v>
                </c:pt>
                <c:pt idx="1">
                  <c:v>14</c:v>
                </c:pt>
                <c:pt idx="2">
                  <c:v>10</c:v>
                </c:pt>
                <c:pt idx="3">
                  <c:v>4</c:v>
                </c:pt>
                <c:pt idx="4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580544"/>
        <c:axId val="95582080"/>
      </c:barChart>
      <c:catAx>
        <c:axId val="9558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582080"/>
        <c:crosses val="autoZero"/>
        <c:auto val="1"/>
        <c:lblAlgn val="ctr"/>
        <c:lblOffset val="100"/>
        <c:noMultiLvlLbl val="0"/>
      </c:catAx>
      <c:valAx>
        <c:axId val="9558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58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84898589065255"/>
          <c:y val="6.9869179738359474E-2"/>
          <c:w val="0.84141291887125225"/>
          <c:h val="0.8489470312273957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Graphs!$E$18</c:f>
              <c:strCache>
                <c:ptCount val="1"/>
                <c:pt idx="0">
                  <c:v>Regular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Graphs!$B$19:$B$23</c:f>
              <c:strCache>
                <c:ptCount val="5"/>
                <c:pt idx="0">
                  <c:v>Ireland</c:v>
                </c:pt>
                <c:pt idx="1">
                  <c:v>France</c:v>
                </c:pt>
                <c:pt idx="2">
                  <c:v>Italy</c:v>
                </c:pt>
                <c:pt idx="3">
                  <c:v>Romania</c:v>
                </c:pt>
                <c:pt idx="4">
                  <c:v>Canada</c:v>
                </c:pt>
              </c:strCache>
            </c:strRef>
          </c:cat>
          <c:val>
            <c:numRef>
              <c:f>Graphs!$E$19:$E$23</c:f>
              <c:numCache>
                <c:formatCode>General</c:formatCode>
                <c:ptCount val="5"/>
                <c:pt idx="0">
                  <c:v>16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Graphs!$D$18</c:f>
              <c:strCache>
                <c:ptCount val="1"/>
                <c:pt idx="0">
                  <c:v>Bonus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Graphs!$B$19:$B$23</c:f>
              <c:strCache>
                <c:ptCount val="5"/>
                <c:pt idx="0">
                  <c:v>Ireland</c:v>
                </c:pt>
                <c:pt idx="1">
                  <c:v>France</c:v>
                </c:pt>
                <c:pt idx="2">
                  <c:v>Italy</c:v>
                </c:pt>
                <c:pt idx="3">
                  <c:v>Romania</c:v>
                </c:pt>
                <c:pt idx="4">
                  <c:v>Canada</c:v>
                </c:pt>
              </c:strCache>
            </c:strRef>
          </c:cat>
          <c:val>
            <c:numRef>
              <c:f>Graphs!$D$19:$D$23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758592"/>
        <c:axId val="95760384"/>
      </c:barChart>
      <c:catAx>
        <c:axId val="9575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60384"/>
        <c:crosses val="autoZero"/>
        <c:auto val="1"/>
        <c:lblAlgn val="ctr"/>
        <c:lblOffset val="100"/>
        <c:noMultiLvlLbl val="0"/>
      </c:catAx>
      <c:valAx>
        <c:axId val="9576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Points</a:t>
                </a:r>
              </a:p>
            </c:rich>
          </c:tx>
          <c:layout>
            <c:manualLayout>
              <c:xMode val="edge"/>
              <c:yMode val="edge"/>
              <c:x val="3.0167328042328044E-2"/>
              <c:y val="0.4286377777777777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5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39"/>
        <c:axId val="95775360"/>
        <c:axId val="95793536"/>
      </c:barChart>
      <c:catAx>
        <c:axId val="9577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93536"/>
        <c:crosses val="autoZero"/>
        <c:auto val="1"/>
        <c:lblAlgn val="ctr"/>
        <c:lblOffset val="100"/>
        <c:noMultiLvlLbl val="0"/>
      </c:catAx>
      <c:valAx>
        <c:axId val="9579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7536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Classroom</a:t>
            </a:r>
            <a:r>
              <a:rPr lang="en-US"/>
              <a:t> </a:t>
            </a:r>
            <a:r>
              <a:rPr lang="en-US" b="1"/>
              <a:t>Orientations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2222307482852729"/>
          <c:y val="0.2253806549665123"/>
          <c:w val="0.54669449573646467"/>
          <c:h val="0.63534762127127842"/>
        </c:manualLayout>
      </c:layout>
      <c:pieChart>
        <c:varyColors val="1"/>
        <c:ser>
          <c:idx val="0"/>
          <c:order val="0"/>
          <c:tx>
            <c:strRef>
              <c:f>Graphs!$C$89</c:f>
              <c:strCache>
                <c:ptCount val="1"/>
                <c:pt idx="0">
                  <c:v>Orientation</c:v>
                </c:pt>
              </c:strCache>
            </c:strRef>
          </c:tx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Graphs!$C$90:$C$93</c:f>
              <c:strCache>
                <c:ptCount val="4"/>
                <c:pt idx="0">
                  <c:v>North</c:v>
                </c:pt>
                <c:pt idx="1">
                  <c:v>East</c:v>
                </c:pt>
                <c:pt idx="2">
                  <c:v>South </c:v>
                </c:pt>
                <c:pt idx="3">
                  <c:v>West</c:v>
                </c:pt>
              </c:strCache>
            </c:strRef>
          </c:cat>
          <c:val>
            <c:numRef>
              <c:f>Graphs!$E$90:$E$93</c:f>
              <c:numCache>
                <c:formatCode>0%</c:formatCode>
                <c:ptCount val="4"/>
                <c:pt idx="0">
                  <c:v>0.11538461538461539</c:v>
                </c:pt>
                <c:pt idx="1">
                  <c:v>0.30769230769230771</c:v>
                </c:pt>
                <c:pt idx="2">
                  <c:v>0.38461538461538464</c:v>
                </c:pt>
                <c:pt idx="3">
                  <c:v>0.19230769230769232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  <c:perspective val="3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2100456621004566E-2"/>
          <c:y val="0.11449676823638043"/>
          <c:w val="0.908675799086758"/>
          <c:h val="0.823175925723965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Graphs!$C$90:$C$93</c:f>
              <c:strCache>
                <c:ptCount val="4"/>
                <c:pt idx="0">
                  <c:v>North</c:v>
                </c:pt>
                <c:pt idx="1">
                  <c:v>East</c:v>
                </c:pt>
                <c:pt idx="2">
                  <c:v>South </c:v>
                </c:pt>
                <c:pt idx="3">
                  <c:v>West</c:v>
                </c:pt>
              </c:strCache>
            </c:strRef>
          </c:cat>
          <c:val>
            <c:numRef>
              <c:f>Graphs!$D$90:$D$93</c:f>
              <c:numCache>
                <c:formatCode>General</c:formatCode>
                <c:ptCount val="4"/>
                <c:pt idx="0">
                  <c:v>3</c:v>
                </c:pt>
                <c:pt idx="1">
                  <c:v>8</c:v>
                </c:pt>
                <c:pt idx="2">
                  <c:v>10</c:v>
                </c:pt>
                <c:pt idx="3">
                  <c:v>5</c:v>
                </c:pt>
              </c:numCache>
            </c:numRef>
          </c:val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222</xdr:row>
      <xdr:rowOff>0</xdr:rowOff>
    </xdr:from>
    <xdr:to>
      <xdr:col>4</xdr:col>
      <xdr:colOff>323850</xdr:colOff>
      <xdr:row>236</xdr:row>
      <xdr:rowOff>161925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905000"/>
          <a:ext cx="2514600" cy="2828925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9525</xdr:colOff>
      <xdr:row>222</xdr:row>
      <xdr:rowOff>0</xdr:rowOff>
    </xdr:from>
    <xdr:to>
      <xdr:col>9</xdr:col>
      <xdr:colOff>247650</xdr:colOff>
      <xdr:row>234</xdr:row>
      <xdr:rowOff>152400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0025" y="1905000"/>
          <a:ext cx="2066925" cy="243840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485775</xdr:colOff>
      <xdr:row>222</xdr:row>
      <xdr:rowOff>0</xdr:rowOff>
    </xdr:from>
    <xdr:to>
      <xdr:col>16</xdr:col>
      <xdr:colOff>361950</xdr:colOff>
      <xdr:row>237</xdr:row>
      <xdr:rowOff>9525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24675" y="1905000"/>
          <a:ext cx="3638550" cy="2867025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581025</xdr:colOff>
      <xdr:row>228</xdr:row>
      <xdr:rowOff>0</xdr:rowOff>
    </xdr:from>
    <xdr:to>
      <xdr:col>5</xdr:col>
      <xdr:colOff>419100</xdr:colOff>
      <xdr:row>230</xdr:row>
      <xdr:rowOff>28575</xdr:rowOff>
    </xdr:to>
    <xdr:sp macro="" textlink="">
      <xdr:nvSpPr>
        <xdr:cNvPr id="5" name="Right Arrow 4"/>
        <xdr:cNvSpPr/>
      </xdr:nvSpPr>
      <xdr:spPr>
        <a:xfrm>
          <a:off x="3362325" y="3048000"/>
          <a:ext cx="447675" cy="40957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466725</xdr:colOff>
      <xdr:row>228</xdr:row>
      <xdr:rowOff>0</xdr:rowOff>
    </xdr:from>
    <xdr:to>
      <xdr:col>10</xdr:col>
      <xdr:colOff>304800</xdr:colOff>
      <xdr:row>230</xdr:row>
      <xdr:rowOff>28575</xdr:rowOff>
    </xdr:to>
    <xdr:sp macro="" textlink="">
      <xdr:nvSpPr>
        <xdr:cNvPr id="6" name="Right Arrow 5"/>
        <xdr:cNvSpPr/>
      </xdr:nvSpPr>
      <xdr:spPr>
        <a:xfrm>
          <a:off x="6296025" y="3048000"/>
          <a:ext cx="447675" cy="40957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</xdr:col>
      <xdr:colOff>9525</xdr:colOff>
      <xdr:row>15</xdr:row>
      <xdr:rowOff>9525</xdr:rowOff>
    </xdr:from>
    <xdr:to>
      <xdr:col>6</xdr:col>
      <xdr:colOff>523875</xdr:colOff>
      <xdr:row>26</xdr:row>
      <xdr:rowOff>85725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8458200"/>
          <a:ext cx="3962400" cy="217170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600075</xdr:colOff>
      <xdr:row>15</xdr:row>
      <xdr:rowOff>9525</xdr:rowOff>
    </xdr:from>
    <xdr:to>
      <xdr:col>14</xdr:col>
      <xdr:colOff>171450</xdr:colOff>
      <xdr:row>27</xdr:row>
      <xdr:rowOff>0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0175" y="8458200"/>
          <a:ext cx="3943350" cy="2276475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15</xdr:row>
      <xdr:rowOff>9525</xdr:rowOff>
    </xdr:from>
    <xdr:to>
      <xdr:col>21</xdr:col>
      <xdr:colOff>466725</xdr:colOff>
      <xdr:row>26</xdr:row>
      <xdr:rowOff>28575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2175" y="8458200"/>
          <a:ext cx="3933825" cy="21145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57150</xdr:colOff>
      <xdr:row>19</xdr:row>
      <xdr:rowOff>161925</xdr:rowOff>
    </xdr:from>
    <xdr:to>
      <xdr:col>7</xdr:col>
      <xdr:colOff>504825</xdr:colOff>
      <xdr:row>22</xdr:row>
      <xdr:rowOff>0</xdr:rowOff>
    </xdr:to>
    <xdr:sp macro="" textlink="">
      <xdr:nvSpPr>
        <xdr:cNvPr id="10" name="Right Arrow 9"/>
        <xdr:cNvSpPr/>
      </xdr:nvSpPr>
      <xdr:spPr>
        <a:xfrm>
          <a:off x="4667250" y="9372600"/>
          <a:ext cx="447675" cy="40957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</xdr:col>
      <xdr:colOff>276225</xdr:colOff>
      <xdr:row>20</xdr:row>
      <xdr:rowOff>9525</xdr:rowOff>
    </xdr:from>
    <xdr:to>
      <xdr:col>15</xdr:col>
      <xdr:colOff>114300</xdr:colOff>
      <xdr:row>22</xdr:row>
      <xdr:rowOff>38100</xdr:rowOff>
    </xdr:to>
    <xdr:sp macro="" textlink="">
      <xdr:nvSpPr>
        <xdr:cNvPr id="11" name="Right Arrow 10"/>
        <xdr:cNvSpPr/>
      </xdr:nvSpPr>
      <xdr:spPr>
        <a:xfrm>
          <a:off x="9258300" y="9410700"/>
          <a:ext cx="447675" cy="40957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10</xdr:col>
      <xdr:colOff>57150</xdr:colOff>
      <xdr:row>31</xdr:row>
      <xdr:rowOff>142875</xdr:rowOff>
    </xdr:from>
    <xdr:to>
      <xdr:col>26</xdr:col>
      <xdr:colOff>142875</xdr:colOff>
      <xdr:row>46</xdr:row>
      <xdr:rowOff>85725</xdr:rowOff>
    </xdr:to>
    <xdr:pic>
      <xdr:nvPicPr>
        <xdr:cNvPr id="1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11068050"/>
          <a:ext cx="9944100" cy="28003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400050</xdr:colOff>
      <xdr:row>67</xdr:row>
      <xdr:rowOff>9525</xdr:rowOff>
    </xdr:from>
    <xdr:to>
      <xdr:col>5</xdr:col>
      <xdr:colOff>219075</xdr:colOff>
      <xdr:row>68</xdr:row>
      <xdr:rowOff>161925</xdr:rowOff>
    </xdr:to>
    <xdr:sp macro="" textlink="">
      <xdr:nvSpPr>
        <xdr:cNvPr id="13" name="Right Arrow 12"/>
        <xdr:cNvSpPr/>
      </xdr:nvSpPr>
      <xdr:spPr>
        <a:xfrm>
          <a:off x="3181350" y="18040350"/>
          <a:ext cx="428625" cy="34290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11</xdr:col>
      <xdr:colOff>571500</xdr:colOff>
      <xdr:row>65</xdr:row>
      <xdr:rowOff>123825</xdr:rowOff>
    </xdr:from>
    <xdr:to>
      <xdr:col>16</xdr:col>
      <xdr:colOff>94929</xdr:colOff>
      <xdr:row>69</xdr:row>
      <xdr:rowOff>28490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724775" y="17773650"/>
          <a:ext cx="2571429" cy="676190"/>
        </a:xfrm>
        <a:prstGeom prst="rect">
          <a:avLst/>
        </a:prstGeom>
      </xdr:spPr>
    </xdr:pic>
    <xdr:clientData/>
  </xdr:twoCellAnchor>
  <xdr:twoCellAnchor editAs="oneCell">
    <xdr:from>
      <xdr:col>9</xdr:col>
      <xdr:colOff>104775</xdr:colOff>
      <xdr:row>161</xdr:row>
      <xdr:rowOff>114300</xdr:rowOff>
    </xdr:from>
    <xdr:to>
      <xdr:col>11</xdr:col>
      <xdr:colOff>438150</xdr:colOff>
      <xdr:row>168</xdr:row>
      <xdr:rowOff>47625</xdr:rowOff>
    </xdr:to>
    <xdr:pic>
      <xdr:nvPicPr>
        <xdr:cNvPr id="16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34075" y="33004125"/>
          <a:ext cx="1657350" cy="1266825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600075</xdr:colOff>
      <xdr:row>190</xdr:row>
      <xdr:rowOff>114300</xdr:rowOff>
    </xdr:from>
    <xdr:to>
      <xdr:col>26</xdr:col>
      <xdr:colOff>419100</xdr:colOff>
      <xdr:row>213</xdr:row>
      <xdr:rowOff>123825</xdr:rowOff>
    </xdr:to>
    <xdr:pic>
      <xdr:nvPicPr>
        <xdr:cNvPr id="17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1775" y="36814125"/>
          <a:ext cx="13944600" cy="4467225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16</xdr:row>
      <xdr:rowOff>104774</xdr:rowOff>
    </xdr:from>
    <xdr:to>
      <xdr:col>13</xdr:col>
      <xdr:colOff>278325</xdr:colOff>
      <xdr:row>35</xdr:row>
      <xdr:rowOff>85274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</xdr:colOff>
      <xdr:row>16</xdr:row>
      <xdr:rowOff>104774</xdr:rowOff>
    </xdr:from>
    <xdr:to>
      <xdr:col>21</xdr:col>
      <xdr:colOff>278325</xdr:colOff>
      <xdr:row>35</xdr:row>
      <xdr:rowOff>85274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561975</xdr:colOff>
      <xdr:row>52</xdr:row>
      <xdr:rowOff>104775</xdr:rowOff>
    </xdr:from>
    <xdr:to>
      <xdr:col>10</xdr:col>
      <xdr:colOff>161925</xdr:colOff>
      <xdr:row>78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581025</xdr:colOff>
      <xdr:row>52</xdr:row>
      <xdr:rowOff>66675</xdr:rowOff>
    </xdr:from>
    <xdr:to>
      <xdr:col>21</xdr:col>
      <xdr:colOff>27806</xdr:colOff>
      <xdr:row>78</xdr:row>
      <xdr:rowOff>132723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019925" y="10201275"/>
          <a:ext cx="6152381" cy="5019048"/>
        </a:xfrm>
        <a:prstGeom prst="rect">
          <a:avLst/>
        </a:prstGeom>
      </xdr:spPr>
    </xdr:pic>
    <xdr:clientData/>
  </xdr:twoCellAnchor>
  <xdr:twoCellAnchor>
    <xdr:from>
      <xdr:col>7</xdr:col>
      <xdr:colOff>61911</xdr:colOff>
      <xdr:row>97</xdr:row>
      <xdr:rowOff>128586</xdr:rowOff>
    </xdr:from>
    <xdr:to>
      <xdr:col>14</xdr:col>
      <xdr:colOff>95250</xdr:colOff>
      <xdr:row>117</xdr:row>
      <xdr:rowOff>19050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19050</xdr:colOff>
      <xdr:row>97</xdr:row>
      <xdr:rowOff>104774</xdr:rowOff>
    </xdr:from>
    <xdr:to>
      <xdr:col>6</xdr:col>
      <xdr:colOff>104775</xdr:colOff>
      <xdr:row>115</xdr:row>
      <xdr:rowOff>114299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32</xdr:row>
      <xdr:rowOff>66675</xdr:rowOff>
    </xdr:from>
    <xdr:to>
      <xdr:col>12</xdr:col>
      <xdr:colOff>152400</xdr:colOff>
      <xdr:row>41</xdr:row>
      <xdr:rowOff>9525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6248400"/>
          <a:ext cx="7210425" cy="1657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33</xdr:row>
      <xdr:rowOff>171450</xdr:rowOff>
    </xdr:from>
    <xdr:to>
      <xdr:col>3</xdr:col>
      <xdr:colOff>419101</xdr:colOff>
      <xdr:row>35</xdr:row>
      <xdr:rowOff>152400</xdr:rowOff>
    </xdr:to>
    <xdr:sp macro="" textlink="">
      <xdr:nvSpPr>
        <xdr:cNvPr id="2" name="Curved Right Arrow 1"/>
        <xdr:cNvSpPr/>
      </xdr:nvSpPr>
      <xdr:spPr>
        <a:xfrm rot="5400000">
          <a:off x="1681163" y="5367337"/>
          <a:ext cx="361950" cy="771526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228600</xdr:colOff>
      <xdr:row>32</xdr:row>
      <xdr:rowOff>180975</xdr:rowOff>
    </xdr:from>
    <xdr:to>
      <xdr:col>4</xdr:col>
      <xdr:colOff>409576</xdr:colOff>
      <xdr:row>35</xdr:row>
      <xdr:rowOff>161925</xdr:rowOff>
    </xdr:to>
    <xdr:sp macro="" textlink="">
      <xdr:nvSpPr>
        <xdr:cNvPr id="3" name="Curved Right Arrow 2"/>
        <xdr:cNvSpPr/>
      </xdr:nvSpPr>
      <xdr:spPr>
        <a:xfrm rot="5400000">
          <a:off x="1871663" y="4967287"/>
          <a:ext cx="552450" cy="1400176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171450</xdr:colOff>
      <xdr:row>31</xdr:row>
      <xdr:rowOff>161928</xdr:rowOff>
    </xdr:from>
    <xdr:to>
      <xdr:col>5</xdr:col>
      <xdr:colOff>419102</xdr:colOff>
      <xdr:row>35</xdr:row>
      <xdr:rowOff>171450</xdr:rowOff>
    </xdr:to>
    <xdr:sp macro="" textlink="">
      <xdr:nvSpPr>
        <xdr:cNvPr id="4" name="Curved Right Arrow 3"/>
        <xdr:cNvSpPr/>
      </xdr:nvSpPr>
      <xdr:spPr>
        <a:xfrm rot="5400000">
          <a:off x="2043115" y="4529138"/>
          <a:ext cx="771522" cy="207645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423863</xdr:colOff>
      <xdr:row>41</xdr:row>
      <xdr:rowOff>9526</xdr:rowOff>
    </xdr:from>
    <xdr:to>
      <xdr:col>4</xdr:col>
      <xdr:colOff>414338</xdr:colOff>
      <xdr:row>42</xdr:row>
      <xdr:rowOff>180976</xdr:rowOff>
    </xdr:to>
    <xdr:sp macro="" textlink="">
      <xdr:nvSpPr>
        <xdr:cNvPr id="6" name="Curved Right Arrow 5"/>
        <xdr:cNvSpPr/>
      </xdr:nvSpPr>
      <xdr:spPr>
        <a:xfrm rot="5400000">
          <a:off x="2371726" y="6815138"/>
          <a:ext cx="361950" cy="600075"/>
        </a:xfrm>
        <a:prstGeom prst="curvedRightArrow">
          <a:avLst/>
        </a:prstGeom>
        <a:scene3d>
          <a:camera prst="orthographicFront">
            <a:rot lat="0" lon="1080000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504825</xdr:colOff>
      <xdr:row>41</xdr:row>
      <xdr:rowOff>9526</xdr:rowOff>
    </xdr:from>
    <xdr:to>
      <xdr:col>5</xdr:col>
      <xdr:colOff>495300</xdr:colOff>
      <xdr:row>42</xdr:row>
      <xdr:rowOff>180976</xdr:rowOff>
    </xdr:to>
    <xdr:sp macro="" textlink="">
      <xdr:nvSpPr>
        <xdr:cNvPr id="7" name="Curved Right Arrow 6"/>
        <xdr:cNvSpPr/>
      </xdr:nvSpPr>
      <xdr:spPr>
        <a:xfrm rot="5400000">
          <a:off x="3062288" y="6815138"/>
          <a:ext cx="361950" cy="600075"/>
        </a:xfrm>
        <a:prstGeom prst="curvedRightArrow">
          <a:avLst/>
        </a:prstGeom>
        <a:scene3d>
          <a:camera prst="orthographicFront">
            <a:rot lat="0" lon="1080000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342900</xdr:colOff>
      <xdr:row>41</xdr:row>
      <xdr:rowOff>9526</xdr:rowOff>
    </xdr:from>
    <xdr:to>
      <xdr:col>3</xdr:col>
      <xdr:colOff>333375</xdr:colOff>
      <xdr:row>42</xdr:row>
      <xdr:rowOff>180976</xdr:rowOff>
    </xdr:to>
    <xdr:sp macro="" textlink="">
      <xdr:nvSpPr>
        <xdr:cNvPr id="8" name="Curved Right Arrow 7"/>
        <xdr:cNvSpPr/>
      </xdr:nvSpPr>
      <xdr:spPr>
        <a:xfrm rot="5400000">
          <a:off x="1681163" y="6815138"/>
          <a:ext cx="361950" cy="600075"/>
        </a:xfrm>
        <a:prstGeom prst="curvedRightArrow">
          <a:avLst/>
        </a:prstGeom>
        <a:scene3d>
          <a:camera prst="orthographicFront">
            <a:rot lat="0" lon="1080000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14</xdr:col>
      <xdr:colOff>542925</xdr:colOff>
      <xdr:row>26</xdr:row>
      <xdr:rowOff>95250</xdr:rowOff>
    </xdr:from>
    <xdr:to>
      <xdr:col>20</xdr:col>
      <xdr:colOff>75801</xdr:colOff>
      <xdr:row>38</xdr:row>
      <xdr:rowOff>18770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77325" y="5114925"/>
          <a:ext cx="3190476" cy="2238095"/>
        </a:xfrm>
        <a:prstGeom prst="rect">
          <a:avLst/>
        </a:prstGeom>
      </xdr:spPr>
    </xdr:pic>
    <xdr:clientData/>
  </xdr:twoCellAnchor>
  <xdr:twoCellAnchor editAs="oneCell">
    <xdr:from>
      <xdr:col>20</xdr:col>
      <xdr:colOff>504825</xdr:colOff>
      <xdr:row>26</xdr:row>
      <xdr:rowOff>95250</xdr:rowOff>
    </xdr:from>
    <xdr:to>
      <xdr:col>27</xdr:col>
      <xdr:colOff>28101</xdr:colOff>
      <xdr:row>38</xdr:row>
      <xdr:rowOff>9246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96825" y="5114925"/>
          <a:ext cx="3790476" cy="2228571"/>
        </a:xfrm>
        <a:prstGeom prst="rect">
          <a:avLst/>
        </a:prstGeom>
      </xdr:spPr>
    </xdr:pic>
    <xdr:clientData/>
  </xdr:twoCellAnchor>
  <xdr:twoCellAnchor editAs="oneCell">
    <xdr:from>
      <xdr:col>27</xdr:col>
      <xdr:colOff>466725</xdr:colOff>
      <xdr:row>26</xdr:row>
      <xdr:rowOff>95250</xdr:rowOff>
    </xdr:from>
    <xdr:to>
      <xdr:col>33</xdr:col>
      <xdr:colOff>561506</xdr:colOff>
      <xdr:row>38</xdr:row>
      <xdr:rowOff>56865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25925" y="5114925"/>
          <a:ext cx="3752381" cy="2276190"/>
        </a:xfrm>
        <a:prstGeom prst="rect">
          <a:avLst/>
        </a:prstGeom>
      </xdr:spPr>
    </xdr:pic>
    <xdr:clientData/>
  </xdr:twoCellAnchor>
  <xdr:twoCellAnchor>
    <xdr:from>
      <xdr:col>1</xdr:col>
      <xdr:colOff>214313</xdr:colOff>
      <xdr:row>58</xdr:row>
      <xdr:rowOff>9524</xdr:rowOff>
    </xdr:from>
    <xdr:to>
      <xdr:col>1</xdr:col>
      <xdr:colOff>576263</xdr:colOff>
      <xdr:row>59</xdr:row>
      <xdr:rowOff>138111</xdr:rowOff>
    </xdr:to>
    <xdr:sp macro="" textlink="">
      <xdr:nvSpPr>
        <xdr:cNvPr id="12" name="Curved Right Arrow 11"/>
        <xdr:cNvSpPr/>
      </xdr:nvSpPr>
      <xdr:spPr>
        <a:xfrm rot="10800000">
          <a:off x="823913" y="10134599"/>
          <a:ext cx="361950" cy="319087"/>
        </a:xfrm>
        <a:prstGeom prst="curvedRightArrow">
          <a:avLst/>
        </a:prstGeom>
        <a:scene3d>
          <a:camera prst="orthographicFront">
            <a:rot lat="0" lon="1080000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495297</xdr:colOff>
      <xdr:row>57</xdr:row>
      <xdr:rowOff>200024</xdr:rowOff>
    </xdr:from>
    <xdr:to>
      <xdr:col>1</xdr:col>
      <xdr:colOff>590548</xdr:colOff>
      <xdr:row>60</xdr:row>
      <xdr:rowOff>123825</xdr:rowOff>
    </xdr:to>
    <xdr:sp macro="" textlink="">
      <xdr:nvSpPr>
        <xdr:cNvPr id="13" name="Curved Right Arrow 12"/>
        <xdr:cNvSpPr/>
      </xdr:nvSpPr>
      <xdr:spPr>
        <a:xfrm rot="10800000">
          <a:off x="495297" y="10125074"/>
          <a:ext cx="704851" cy="504826"/>
        </a:xfrm>
        <a:prstGeom prst="curvedRightArrow">
          <a:avLst/>
        </a:prstGeom>
        <a:scene3d>
          <a:camera prst="orthographicFront">
            <a:rot lat="0" lon="1080000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295269</xdr:colOff>
      <xdr:row>57</xdr:row>
      <xdr:rowOff>114300</xdr:rowOff>
    </xdr:from>
    <xdr:to>
      <xdr:col>1</xdr:col>
      <xdr:colOff>600075</xdr:colOff>
      <xdr:row>61</xdr:row>
      <xdr:rowOff>171449</xdr:rowOff>
    </xdr:to>
    <xdr:sp macro="" textlink="">
      <xdr:nvSpPr>
        <xdr:cNvPr id="15" name="Curved Right Arrow 14"/>
        <xdr:cNvSpPr/>
      </xdr:nvSpPr>
      <xdr:spPr>
        <a:xfrm rot="10800000">
          <a:off x="295269" y="10039350"/>
          <a:ext cx="914406" cy="828674"/>
        </a:xfrm>
        <a:prstGeom prst="curvedRightArrow">
          <a:avLst/>
        </a:prstGeom>
        <a:scene3d>
          <a:camera prst="orthographicFront">
            <a:rot lat="0" lon="1080000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33338</xdr:colOff>
      <xdr:row>58</xdr:row>
      <xdr:rowOff>47625</xdr:rowOff>
    </xdr:from>
    <xdr:to>
      <xdr:col>6</xdr:col>
      <xdr:colOff>395288</xdr:colOff>
      <xdr:row>59</xdr:row>
      <xdr:rowOff>61911</xdr:rowOff>
    </xdr:to>
    <xdr:sp macro="" textlink="">
      <xdr:nvSpPr>
        <xdr:cNvPr id="16" name="Curved Right Arrow 15"/>
        <xdr:cNvSpPr/>
      </xdr:nvSpPr>
      <xdr:spPr>
        <a:xfrm rot="10800000">
          <a:off x="3690938" y="10172700"/>
          <a:ext cx="361950" cy="204786"/>
        </a:xfrm>
        <a:prstGeom prst="curvedRightArrow">
          <a:avLst/>
        </a:prstGeom>
        <a:scene3d>
          <a:camera prst="orthographicFront">
            <a:rot lat="0" lon="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59</xdr:row>
      <xdr:rowOff>95250</xdr:rowOff>
    </xdr:from>
    <xdr:to>
      <xdr:col>6</xdr:col>
      <xdr:colOff>390525</xdr:colOff>
      <xdr:row>60</xdr:row>
      <xdr:rowOff>109536</xdr:rowOff>
    </xdr:to>
    <xdr:sp macro="" textlink="">
      <xdr:nvSpPr>
        <xdr:cNvPr id="17" name="Curved Right Arrow 16"/>
        <xdr:cNvSpPr/>
      </xdr:nvSpPr>
      <xdr:spPr>
        <a:xfrm rot="10800000">
          <a:off x="3686175" y="10410825"/>
          <a:ext cx="361950" cy="204786"/>
        </a:xfrm>
        <a:prstGeom prst="curvedRightArrow">
          <a:avLst/>
        </a:prstGeom>
        <a:scene3d>
          <a:camera prst="orthographicFront">
            <a:rot lat="0" lon="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60</xdr:row>
      <xdr:rowOff>123825</xdr:rowOff>
    </xdr:from>
    <xdr:to>
      <xdr:col>6</xdr:col>
      <xdr:colOff>400050</xdr:colOff>
      <xdr:row>61</xdr:row>
      <xdr:rowOff>138111</xdr:rowOff>
    </xdr:to>
    <xdr:sp macro="" textlink="">
      <xdr:nvSpPr>
        <xdr:cNvPr id="18" name="Curved Right Arrow 17"/>
        <xdr:cNvSpPr/>
      </xdr:nvSpPr>
      <xdr:spPr>
        <a:xfrm rot="10800000">
          <a:off x="3695700" y="10629900"/>
          <a:ext cx="361950" cy="204786"/>
        </a:xfrm>
        <a:prstGeom prst="curvedRightArrow">
          <a:avLst/>
        </a:prstGeom>
        <a:scene3d>
          <a:camera prst="orthographicFront">
            <a:rot lat="0" lon="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14</xdr:col>
      <xdr:colOff>180975</xdr:colOff>
      <xdr:row>51</xdr:row>
      <xdr:rowOff>28575</xdr:rowOff>
    </xdr:from>
    <xdr:to>
      <xdr:col>20</xdr:col>
      <xdr:colOff>437661</xdr:colOff>
      <xdr:row>57</xdr:row>
      <xdr:rowOff>28431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715375" y="9953625"/>
          <a:ext cx="3914286" cy="1152381"/>
        </a:xfrm>
        <a:prstGeom prst="rect">
          <a:avLst/>
        </a:prstGeom>
      </xdr:spPr>
    </xdr:pic>
    <xdr:clientData/>
  </xdr:twoCellAnchor>
  <xdr:twoCellAnchor editAs="oneCell">
    <xdr:from>
      <xdr:col>21</xdr:col>
      <xdr:colOff>242885</xdr:colOff>
      <xdr:row>51</xdr:row>
      <xdr:rowOff>28575</xdr:rowOff>
    </xdr:from>
    <xdr:to>
      <xdr:col>27</xdr:col>
      <xdr:colOff>451952</xdr:colOff>
      <xdr:row>58</xdr:row>
      <xdr:rowOff>37930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044485" y="9953625"/>
          <a:ext cx="3866667" cy="1361905"/>
        </a:xfrm>
        <a:prstGeom prst="rect">
          <a:avLst/>
        </a:prstGeom>
      </xdr:spPr>
    </xdr:pic>
    <xdr:clientData/>
  </xdr:twoCellAnchor>
  <xdr:twoCellAnchor editAs="oneCell">
    <xdr:from>
      <xdr:col>28</xdr:col>
      <xdr:colOff>257175</xdr:colOff>
      <xdr:row>51</xdr:row>
      <xdr:rowOff>28575</xdr:rowOff>
    </xdr:from>
    <xdr:to>
      <xdr:col>34</xdr:col>
      <xdr:colOff>485289</xdr:colOff>
      <xdr:row>58</xdr:row>
      <xdr:rowOff>76025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325975" y="9953625"/>
          <a:ext cx="3885714" cy="1400000"/>
        </a:xfrm>
        <a:prstGeom prst="rect">
          <a:avLst/>
        </a:prstGeom>
      </xdr:spPr>
    </xdr:pic>
    <xdr:clientData/>
  </xdr:twoCellAnchor>
  <xdr:twoCellAnchor>
    <xdr:from>
      <xdr:col>1</xdr:col>
      <xdr:colOff>214313</xdr:colOff>
      <xdr:row>77</xdr:row>
      <xdr:rowOff>9524</xdr:rowOff>
    </xdr:from>
    <xdr:to>
      <xdr:col>1</xdr:col>
      <xdr:colOff>576263</xdr:colOff>
      <xdr:row>78</xdr:row>
      <xdr:rowOff>138111</xdr:rowOff>
    </xdr:to>
    <xdr:sp macro="" textlink="">
      <xdr:nvSpPr>
        <xdr:cNvPr id="22" name="Curved Right Arrow 21"/>
        <xdr:cNvSpPr/>
      </xdr:nvSpPr>
      <xdr:spPr>
        <a:xfrm rot="10800000">
          <a:off x="823913" y="11277599"/>
          <a:ext cx="361950" cy="328612"/>
        </a:xfrm>
        <a:prstGeom prst="curvedRightArrow">
          <a:avLst/>
        </a:prstGeom>
        <a:scene3d>
          <a:camera prst="orthographicFront">
            <a:rot lat="0" lon="1080000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495297</xdr:colOff>
      <xdr:row>76</xdr:row>
      <xdr:rowOff>200024</xdr:rowOff>
    </xdr:from>
    <xdr:to>
      <xdr:col>1</xdr:col>
      <xdr:colOff>590548</xdr:colOff>
      <xdr:row>79</xdr:row>
      <xdr:rowOff>123825</xdr:rowOff>
    </xdr:to>
    <xdr:sp macro="" textlink="">
      <xdr:nvSpPr>
        <xdr:cNvPr id="23" name="Curved Right Arrow 22"/>
        <xdr:cNvSpPr/>
      </xdr:nvSpPr>
      <xdr:spPr>
        <a:xfrm rot="10800000">
          <a:off x="495297" y="11268074"/>
          <a:ext cx="704851" cy="514351"/>
        </a:xfrm>
        <a:prstGeom prst="curvedRightArrow">
          <a:avLst/>
        </a:prstGeom>
        <a:scene3d>
          <a:camera prst="orthographicFront">
            <a:rot lat="0" lon="1080000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295269</xdr:colOff>
      <xdr:row>76</xdr:row>
      <xdr:rowOff>114300</xdr:rowOff>
    </xdr:from>
    <xdr:to>
      <xdr:col>1</xdr:col>
      <xdr:colOff>600075</xdr:colOff>
      <xdr:row>80</xdr:row>
      <xdr:rowOff>171449</xdr:rowOff>
    </xdr:to>
    <xdr:sp macro="" textlink="">
      <xdr:nvSpPr>
        <xdr:cNvPr id="24" name="Curved Right Arrow 23"/>
        <xdr:cNvSpPr/>
      </xdr:nvSpPr>
      <xdr:spPr>
        <a:xfrm rot="10800000">
          <a:off x="295269" y="11182350"/>
          <a:ext cx="914406" cy="838199"/>
        </a:xfrm>
        <a:prstGeom prst="curvedRightArrow">
          <a:avLst/>
        </a:prstGeom>
        <a:scene3d>
          <a:camera prst="orthographicFront">
            <a:rot lat="0" lon="1080000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33338</xdr:colOff>
      <xdr:row>77</xdr:row>
      <xdr:rowOff>47625</xdr:rowOff>
    </xdr:from>
    <xdr:to>
      <xdr:col>6</xdr:col>
      <xdr:colOff>395288</xdr:colOff>
      <xdr:row>78</xdr:row>
      <xdr:rowOff>61911</xdr:rowOff>
    </xdr:to>
    <xdr:sp macro="" textlink="">
      <xdr:nvSpPr>
        <xdr:cNvPr id="25" name="Curved Right Arrow 24"/>
        <xdr:cNvSpPr/>
      </xdr:nvSpPr>
      <xdr:spPr>
        <a:xfrm rot="10800000">
          <a:off x="3690938" y="11315700"/>
          <a:ext cx="361950" cy="214311"/>
        </a:xfrm>
        <a:prstGeom prst="curvedRightArrow">
          <a:avLst/>
        </a:prstGeom>
        <a:scene3d>
          <a:camera prst="orthographicFront">
            <a:rot lat="0" lon="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78</xdr:row>
      <xdr:rowOff>95250</xdr:rowOff>
    </xdr:from>
    <xdr:to>
      <xdr:col>6</xdr:col>
      <xdr:colOff>390525</xdr:colOff>
      <xdr:row>79</xdr:row>
      <xdr:rowOff>109536</xdr:rowOff>
    </xdr:to>
    <xdr:sp macro="" textlink="">
      <xdr:nvSpPr>
        <xdr:cNvPr id="26" name="Curved Right Arrow 25"/>
        <xdr:cNvSpPr/>
      </xdr:nvSpPr>
      <xdr:spPr>
        <a:xfrm rot="10800000">
          <a:off x="3686175" y="11563350"/>
          <a:ext cx="361950" cy="204786"/>
        </a:xfrm>
        <a:prstGeom prst="curvedRightArrow">
          <a:avLst/>
        </a:prstGeom>
        <a:scene3d>
          <a:camera prst="orthographicFront">
            <a:rot lat="0" lon="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79</xdr:row>
      <xdr:rowOff>123825</xdr:rowOff>
    </xdr:from>
    <xdr:to>
      <xdr:col>6</xdr:col>
      <xdr:colOff>400050</xdr:colOff>
      <xdr:row>80</xdr:row>
      <xdr:rowOff>138111</xdr:rowOff>
    </xdr:to>
    <xdr:sp macro="" textlink="">
      <xdr:nvSpPr>
        <xdr:cNvPr id="27" name="Curved Right Arrow 26"/>
        <xdr:cNvSpPr/>
      </xdr:nvSpPr>
      <xdr:spPr>
        <a:xfrm rot="10800000">
          <a:off x="3695700" y="11782425"/>
          <a:ext cx="361950" cy="204786"/>
        </a:xfrm>
        <a:prstGeom prst="curvedRightArrow">
          <a:avLst/>
        </a:prstGeom>
        <a:scene3d>
          <a:camera prst="orthographicFront">
            <a:rot lat="0" lon="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209550</xdr:colOff>
      <xdr:row>74</xdr:row>
      <xdr:rowOff>171447</xdr:rowOff>
    </xdr:from>
    <xdr:to>
      <xdr:col>3</xdr:col>
      <xdr:colOff>371476</xdr:colOff>
      <xdr:row>76</xdr:row>
      <xdr:rowOff>152397</xdr:rowOff>
    </xdr:to>
    <xdr:sp macro="" textlink="">
      <xdr:nvSpPr>
        <xdr:cNvPr id="31" name="Curved Right Arrow 30"/>
        <xdr:cNvSpPr/>
      </xdr:nvSpPr>
      <xdr:spPr>
        <a:xfrm rot="5400000">
          <a:off x="1633538" y="15378109"/>
          <a:ext cx="361950" cy="771526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180975</xdr:colOff>
      <xdr:row>73</xdr:row>
      <xdr:rowOff>180972</xdr:rowOff>
    </xdr:from>
    <xdr:to>
      <xdr:col>4</xdr:col>
      <xdr:colOff>361951</xdr:colOff>
      <xdr:row>76</xdr:row>
      <xdr:rowOff>161922</xdr:rowOff>
    </xdr:to>
    <xdr:sp macro="" textlink="">
      <xdr:nvSpPr>
        <xdr:cNvPr id="32" name="Curved Right Arrow 31"/>
        <xdr:cNvSpPr/>
      </xdr:nvSpPr>
      <xdr:spPr>
        <a:xfrm rot="5400000">
          <a:off x="1824038" y="14978059"/>
          <a:ext cx="552450" cy="1400176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123825</xdr:colOff>
      <xdr:row>72</xdr:row>
      <xdr:rowOff>161925</xdr:rowOff>
    </xdr:from>
    <xdr:to>
      <xdr:col>5</xdr:col>
      <xdr:colOff>371477</xdr:colOff>
      <xdr:row>76</xdr:row>
      <xdr:rowOff>171447</xdr:rowOff>
    </xdr:to>
    <xdr:sp macro="" textlink="">
      <xdr:nvSpPr>
        <xdr:cNvPr id="33" name="Curved Right Arrow 32"/>
        <xdr:cNvSpPr/>
      </xdr:nvSpPr>
      <xdr:spPr>
        <a:xfrm rot="5400000">
          <a:off x="1995490" y="14539910"/>
          <a:ext cx="771522" cy="207645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280988</xdr:colOff>
      <xdr:row>81</xdr:row>
      <xdr:rowOff>28575</xdr:rowOff>
    </xdr:from>
    <xdr:to>
      <xdr:col>4</xdr:col>
      <xdr:colOff>271463</xdr:colOff>
      <xdr:row>83</xdr:row>
      <xdr:rowOff>9525</xdr:rowOff>
    </xdr:to>
    <xdr:sp macro="" textlink="">
      <xdr:nvSpPr>
        <xdr:cNvPr id="34" name="Curved Right Arrow 33"/>
        <xdr:cNvSpPr/>
      </xdr:nvSpPr>
      <xdr:spPr>
        <a:xfrm rot="5400000">
          <a:off x="2228851" y="16683037"/>
          <a:ext cx="361950" cy="600075"/>
        </a:xfrm>
        <a:prstGeom prst="curvedRightArrow">
          <a:avLst/>
        </a:prstGeom>
        <a:scene3d>
          <a:camera prst="orthographicFront">
            <a:rot lat="0" lon="1080000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361950</xdr:colOff>
      <xdr:row>81</xdr:row>
      <xdr:rowOff>28575</xdr:rowOff>
    </xdr:from>
    <xdr:to>
      <xdr:col>5</xdr:col>
      <xdr:colOff>352425</xdr:colOff>
      <xdr:row>83</xdr:row>
      <xdr:rowOff>9525</xdr:rowOff>
    </xdr:to>
    <xdr:sp macro="" textlink="">
      <xdr:nvSpPr>
        <xdr:cNvPr id="35" name="Curved Right Arrow 34"/>
        <xdr:cNvSpPr/>
      </xdr:nvSpPr>
      <xdr:spPr>
        <a:xfrm rot="5400000">
          <a:off x="2919413" y="16683037"/>
          <a:ext cx="361950" cy="600075"/>
        </a:xfrm>
        <a:prstGeom prst="curvedRightArrow">
          <a:avLst/>
        </a:prstGeom>
        <a:scene3d>
          <a:camera prst="orthographicFront">
            <a:rot lat="0" lon="1080000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200025</xdr:colOff>
      <xdr:row>81</xdr:row>
      <xdr:rowOff>28575</xdr:rowOff>
    </xdr:from>
    <xdr:to>
      <xdr:col>3</xdr:col>
      <xdr:colOff>190500</xdr:colOff>
      <xdr:row>83</xdr:row>
      <xdr:rowOff>9525</xdr:rowOff>
    </xdr:to>
    <xdr:sp macro="" textlink="">
      <xdr:nvSpPr>
        <xdr:cNvPr id="36" name="Curved Right Arrow 35"/>
        <xdr:cNvSpPr/>
      </xdr:nvSpPr>
      <xdr:spPr>
        <a:xfrm rot="5400000">
          <a:off x="1538288" y="16683037"/>
          <a:ext cx="361950" cy="600075"/>
        </a:xfrm>
        <a:prstGeom prst="curvedRightArrow">
          <a:avLst/>
        </a:prstGeom>
        <a:scene3d>
          <a:camera prst="orthographicFront">
            <a:rot lat="0" lon="1080000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31</xdr:row>
      <xdr:rowOff>38100</xdr:rowOff>
    </xdr:from>
    <xdr:to>
      <xdr:col>2</xdr:col>
      <xdr:colOff>276225</xdr:colOff>
      <xdr:row>32</xdr:row>
      <xdr:rowOff>123825</xdr:rowOff>
    </xdr:to>
    <xdr:cxnSp macro="">
      <xdr:nvCxnSpPr>
        <xdr:cNvPr id="3" name="Straight Arrow Connector 2"/>
        <xdr:cNvCxnSpPr/>
      </xdr:nvCxnSpPr>
      <xdr:spPr>
        <a:xfrm flipV="1">
          <a:off x="1914525" y="5162550"/>
          <a:ext cx="9525" cy="276225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123825</xdr:colOff>
      <xdr:row>21</xdr:row>
      <xdr:rowOff>95250</xdr:rowOff>
    </xdr:from>
    <xdr:to>
      <xdr:col>6</xdr:col>
      <xdr:colOff>571501</xdr:colOff>
      <xdr:row>21</xdr:row>
      <xdr:rowOff>95250</xdr:rowOff>
    </xdr:to>
    <xdr:cxnSp macro="">
      <xdr:nvCxnSpPr>
        <xdr:cNvPr id="4" name="Straight Arrow Connector 3"/>
        <xdr:cNvCxnSpPr/>
      </xdr:nvCxnSpPr>
      <xdr:spPr>
        <a:xfrm flipH="1">
          <a:off x="4210050" y="3886200"/>
          <a:ext cx="447676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31</xdr:row>
      <xdr:rowOff>38100</xdr:rowOff>
    </xdr:from>
    <xdr:to>
      <xdr:col>3</xdr:col>
      <xdr:colOff>342900</xdr:colOff>
      <xdr:row>32</xdr:row>
      <xdr:rowOff>123825</xdr:rowOff>
    </xdr:to>
    <xdr:cxnSp macro="">
      <xdr:nvCxnSpPr>
        <xdr:cNvPr id="5" name="Straight Arrow Connector 4"/>
        <xdr:cNvCxnSpPr/>
      </xdr:nvCxnSpPr>
      <xdr:spPr>
        <a:xfrm flipV="1">
          <a:off x="2590800" y="6172200"/>
          <a:ext cx="9525" cy="276225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1028700</xdr:colOff>
      <xdr:row>32</xdr:row>
      <xdr:rowOff>161925</xdr:rowOff>
    </xdr:from>
    <xdr:to>
      <xdr:col>3</xdr:col>
      <xdr:colOff>1</xdr:colOff>
      <xdr:row>35</xdr:row>
      <xdr:rowOff>66675</xdr:rowOff>
    </xdr:to>
    <xdr:sp macro="" textlink="">
      <xdr:nvSpPr>
        <xdr:cNvPr id="2" name="TextBox 1"/>
        <xdr:cNvSpPr txBox="1"/>
      </xdr:nvSpPr>
      <xdr:spPr>
        <a:xfrm>
          <a:off x="1638300" y="6486525"/>
          <a:ext cx="619126" cy="4762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row index</a:t>
          </a:r>
        </a:p>
      </xdr:txBody>
    </xdr:sp>
    <xdr:clientData/>
  </xdr:twoCellAnchor>
  <xdr:twoCellAnchor>
    <xdr:from>
      <xdr:col>3</xdr:col>
      <xdr:colOff>57150</xdr:colOff>
      <xdr:row>32</xdr:row>
      <xdr:rowOff>171450</xdr:rowOff>
    </xdr:from>
    <xdr:to>
      <xdr:col>4</xdr:col>
      <xdr:colOff>333375</xdr:colOff>
      <xdr:row>35</xdr:row>
      <xdr:rowOff>133350</xdr:rowOff>
    </xdr:to>
    <xdr:sp macro="" textlink="">
      <xdr:nvSpPr>
        <xdr:cNvPr id="6" name="TextBox 5"/>
        <xdr:cNvSpPr txBox="1"/>
      </xdr:nvSpPr>
      <xdr:spPr>
        <a:xfrm>
          <a:off x="2314575" y="6496050"/>
          <a:ext cx="885825" cy="533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search column</a:t>
          </a:r>
        </a:p>
      </xdr:txBody>
    </xdr:sp>
    <xdr:clientData/>
  </xdr:twoCellAnchor>
  <xdr:twoCellAnchor>
    <xdr:from>
      <xdr:col>2</xdr:col>
      <xdr:colOff>238125</xdr:colOff>
      <xdr:row>65</xdr:row>
      <xdr:rowOff>47625</xdr:rowOff>
    </xdr:from>
    <xdr:to>
      <xdr:col>2</xdr:col>
      <xdr:colOff>247650</xdr:colOff>
      <xdr:row>66</xdr:row>
      <xdr:rowOff>133350</xdr:rowOff>
    </xdr:to>
    <xdr:cxnSp macro="">
      <xdr:nvCxnSpPr>
        <xdr:cNvPr id="7" name="Straight Arrow Connector 6"/>
        <xdr:cNvCxnSpPr/>
      </xdr:nvCxnSpPr>
      <xdr:spPr>
        <a:xfrm flipV="1">
          <a:off x="1885950" y="12858750"/>
          <a:ext cx="9525" cy="276225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95250</xdr:colOff>
      <xdr:row>55</xdr:row>
      <xdr:rowOff>104775</xdr:rowOff>
    </xdr:from>
    <xdr:to>
      <xdr:col>6</xdr:col>
      <xdr:colOff>542926</xdr:colOff>
      <xdr:row>55</xdr:row>
      <xdr:rowOff>104775</xdr:rowOff>
    </xdr:to>
    <xdr:cxnSp macro="">
      <xdr:nvCxnSpPr>
        <xdr:cNvPr id="8" name="Straight Arrow Connector 7"/>
        <xdr:cNvCxnSpPr/>
      </xdr:nvCxnSpPr>
      <xdr:spPr>
        <a:xfrm flipH="1">
          <a:off x="4181475" y="10953750"/>
          <a:ext cx="447676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285750</xdr:colOff>
      <xdr:row>65</xdr:row>
      <xdr:rowOff>47625</xdr:rowOff>
    </xdr:from>
    <xdr:to>
      <xdr:col>4</xdr:col>
      <xdr:colOff>295275</xdr:colOff>
      <xdr:row>66</xdr:row>
      <xdr:rowOff>133350</xdr:rowOff>
    </xdr:to>
    <xdr:cxnSp macro="">
      <xdr:nvCxnSpPr>
        <xdr:cNvPr id="9" name="Straight Arrow Connector 8"/>
        <xdr:cNvCxnSpPr/>
      </xdr:nvCxnSpPr>
      <xdr:spPr>
        <a:xfrm flipV="1">
          <a:off x="3152775" y="12858750"/>
          <a:ext cx="9525" cy="276225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1000125</xdr:colOff>
      <xdr:row>66</xdr:row>
      <xdr:rowOff>171450</xdr:rowOff>
    </xdr:from>
    <xdr:to>
      <xdr:col>2</xdr:col>
      <xdr:colOff>581026</xdr:colOff>
      <xdr:row>69</xdr:row>
      <xdr:rowOff>76200</xdr:rowOff>
    </xdr:to>
    <xdr:sp macro="" textlink="">
      <xdr:nvSpPr>
        <xdr:cNvPr id="10" name="TextBox 9"/>
        <xdr:cNvSpPr txBox="1"/>
      </xdr:nvSpPr>
      <xdr:spPr>
        <a:xfrm>
          <a:off x="1609725" y="13173075"/>
          <a:ext cx="619126" cy="4762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row index</a:t>
          </a:r>
        </a:p>
      </xdr:txBody>
    </xdr:sp>
    <xdr:clientData/>
  </xdr:twoCellAnchor>
  <xdr:twoCellAnchor>
    <xdr:from>
      <xdr:col>4</xdr:col>
      <xdr:colOff>9525</xdr:colOff>
      <xdr:row>67</xdr:row>
      <xdr:rowOff>9525</xdr:rowOff>
    </xdr:from>
    <xdr:to>
      <xdr:col>5</xdr:col>
      <xdr:colOff>285750</xdr:colOff>
      <xdr:row>69</xdr:row>
      <xdr:rowOff>161925</xdr:rowOff>
    </xdr:to>
    <xdr:sp macro="" textlink="">
      <xdr:nvSpPr>
        <xdr:cNvPr id="11" name="TextBox 10"/>
        <xdr:cNvSpPr txBox="1"/>
      </xdr:nvSpPr>
      <xdr:spPr>
        <a:xfrm>
          <a:off x="2876550" y="13201650"/>
          <a:ext cx="885825" cy="533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search column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342900</xdr:colOff>
      <xdr:row>12</xdr:row>
      <xdr:rowOff>161925</xdr:rowOff>
    </xdr:from>
    <xdr:to>
      <xdr:col>15</xdr:col>
      <xdr:colOff>390525</xdr:colOff>
      <xdr:row>18</xdr:row>
      <xdr:rowOff>66675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" y="2619375"/>
          <a:ext cx="8582025" cy="1047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295275</xdr:colOff>
      <xdr:row>24</xdr:row>
      <xdr:rowOff>133350</xdr:rowOff>
    </xdr:from>
    <xdr:to>
      <xdr:col>14</xdr:col>
      <xdr:colOff>438150</xdr:colOff>
      <xdr:row>59</xdr:row>
      <xdr:rowOff>57150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4686300"/>
          <a:ext cx="8067675" cy="659130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285750</xdr:colOff>
      <xdr:row>63</xdr:row>
      <xdr:rowOff>19050</xdr:rowOff>
    </xdr:from>
    <xdr:to>
      <xdr:col>14</xdr:col>
      <xdr:colOff>313331</xdr:colOff>
      <xdr:row>69</xdr:row>
      <xdr:rowOff>18907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5350" y="12001500"/>
          <a:ext cx="7952381" cy="114285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266700</xdr:colOff>
      <xdr:row>73</xdr:row>
      <xdr:rowOff>161925</xdr:rowOff>
    </xdr:from>
    <xdr:to>
      <xdr:col>14</xdr:col>
      <xdr:colOff>466725</xdr:colOff>
      <xdr:row>93</xdr:row>
      <xdr:rowOff>47625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14239875"/>
          <a:ext cx="8124825" cy="369570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285749</xdr:colOff>
      <xdr:row>101</xdr:row>
      <xdr:rowOff>104775</xdr:rowOff>
    </xdr:from>
    <xdr:to>
      <xdr:col>11</xdr:col>
      <xdr:colOff>304800</xdr:colOff>
      <xdr:row>103</xdr:row>
      <xdr:rowOff>76200</xdr:rowOff>
    </xdr:to>
    <xdr:sp macro="[0]!displayData" textlink="">
      <xdr:nvSpPr>
        <xdr:cNvPr id="6" name="Rectangle 5"/>
        <xdr:cNvSpPr/>
      </xdr:nvSpPr>
      <xdr:spPr>
        <a:xfrm>
          <a:off x="5772149" y="19640550"/>
          <a:ext cx="1238251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/>
            <a:t>displayData()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youtube.com/watch?v=dSKEl29Yn6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3"/>
  <sheetViews>
    <sheetView tabSelected="1" workbookViewId="0">
      <pane ySplit="1" topLeftCell="A2" activePane="bottomLeft" state="frozen"/>
      <selection pane="bottomLeft" sqref="A1:XFD1"/>
    </sheetView>
  </sheetViews>
  <sheetFormatPr defaultRowHeight="15" x14ac:dyDescent="0.25"/>
  <cols>
    <col min="1" max="16384" width="9.140625" style="76"/>
  </cols>
  <sheetData>
    <row r="1" spans="1:20" s="191" customFormat="1" ht="24" thickBot="1" x14ac:dyDescent="0.4">
      <c r="A1" s="190" t="s">
        <v>147</v>
      </c>
    </row>
    <row r="2" spans="1:20" x14ac:dyDescent="0.25">
      <c r="B2" s="192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</row>
    <row r="3" spans="1:20" ht="21" customHeight="1" x14ac:dyDescent="0.4">
      <c r="B3" s="193" t="s">
        <v>148</v>
      </c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</row>
    <row r="4" spans="1:20" x14ac:dyDescent="0.25">
      <c r="B4" s="188" t="s">
        <v>156</v>
      </c>
      <c r="C4" s="188"/>
      <c r="D4" s="188"/>
      <c r="E4" s="188"/>
      <c r="F4" s="188"/>
      <c r="G4" s="188"/>
      <c r="H4" s="188"/>
      <c r="I4" s="188"/>
      <c r="J4" s="188"/>
      <c r="K4" s="188"/>
      <c r="L4" s="188"/>
      <c r="M4" s="188"/>
      <c r="N4" s="188"/>
      <c r="O4" s="188"/>
      <c r="S4" s="77"/>
    </row>
    <row r="5" spans="1:20" s="119" customFormat="1" x14ac:dyDescent="0.25">
      <c r="T5" s="77"/>
    </row>
    <row r="6" spans="1:20" s="119" customFormat="1" ht="18.75" x14ac:dyDescent="0.3">
      <c r="B6" s="189" t="s">
        <v>425</v>
      </c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S6" s="76"/>
    </row>
    <row r="7" spans="1:20" s="119" customFormat="1" x14ac:dyDescent="0.25">
      <c r="B7" s="188" t="s">
        <v>424</v>
      </c>
      <c r="C7" s="188"/>
      <c r="D7" s="188"/>
      <c r="E7" s="188"/>
      <c r="F7" s="188"/>
      <c r="G7" s="188"/>
      <c r="H7" s="188"/>
      <c r="I7" s="188"/>
      <c r="J7" s="188"/>
      <c r="K7" s="188"/>
      <c r="L7" s="188"/>
      <c r="M7" s="188"/>
      <c r="N7" s="188"/>
      <c r="O7" s="188"/>
    </row>
    <row r="8" spans="1:20" s="157" customFormat="1" x14ac:dyDescent="0.25"/>
    <row r="9" spans="1:20" s="157" customFormat="1" ht="18.75" x14ac:dyDescent="0.3">
      <c r="B9" s="189" t="s">
        <v>464</v>
      </c>
      <c r="C9" s="189"/>
      <c r="D9" s="189"/>
      <c r="E9" s="189"/>
      <c r="F9" s="189"/>
      <c r="G9" s="189"/>
      <c r="H9" s="189"/>
      <c r="I9" s="189"/>
      <c r="J9" s="189"/>
      <c r="K9" s="189"/>
      <c r="L9" s="189"/>
      <c r="M9" s="189"/>
      <c r="N9" s="189"/>
      <c r="O9" s="189"/>
    </row>
    <row r="10" spans="1:20" x14ac:dyDescent="0.25">
      <c r="B10" s="188" t="s">
        <v>485</v>
      </c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</row>
    <row r="11" spans="1:20" s="157" customFormat="1" x14ac:dyDescent="0.25"/>
    <row r="12" spans="1:20" ht="18.75" x14ac:dyDescent="0.3">
      <c r="B12" s="189" t="s">
        <v>155</v>
      </c>
      <c r="C12" s="189"/>
      <c r="D12" s="189"/>
      <c r="E12" s="189"/>
      <c r="F12" s="189"/>
      <c r="G12" s="189"/>
      <c r="H12" s="189"/>
      <c r="I12" s="189"/>
      <c r="J12" s="189"/>
      <c r="K12" s="189"/>
      <c r="L12" s="189"/>
      <c r="M12" s="189"/>
      <c r="N12" s="189"/>
      <c r="O12" s="189"/>
    </row>
    <row r="13" spans="1:20" x14ac:dyDescent="0.25">
      <c r="B13" s="188" t="s">
        <v>150</v>
      </c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</row>
    <row r="14" spans="1:20" x14ac:dyDescent="0.25">
      <c r="B14" s="188"/>
      <c r="C14" s="188"/>
      <c r="D14" s="188"/>
      <c r="E14" s="188"/>
      <c r="F14" s="188"/>
      <c r="G14" s="188"/>
      <c r="H14" s="188"/>
      <c r="I14" s="188"/>
      <c r="J14" s="188"/>
      <c r="K14" s="188"/>
      <c r="L14" s="188"/>
      <c r="M14" s="188"/>
      <c r="N14" s="188"/>
      <c r="O14" s="188"/>
    </row>
    <row r="15" spans="1:20" ht="18.75" x14ac:dyDescent="0.3">
      <c r="B15" s="189" t="s">
        <v>154</v>
      </c>
      <c r="C15" s="189"/>
      <c r="D15" s="189"/>
      <c r="E15" s="189"/>
      <c r="F15" s="189"/>
      <c r="G15" s="189"/>
      <c r="H15" s="189"/>
      <c r="I15" s="189"/>
      <c r="J15" s="189"/>
      <c r="K15" s="189"/>
      <c r="L15" s="189"/>
      <c r="M15" s="189"/>
      <c r="N15" s="189"/>
      <c r="O15" s="189"/>
    </row>
    <row r="16" spans="1:20" x14ac:dyDescent="0.25">
      <c r="B16" s="188" t="s">
        <v>151</v>
      </c>
      <c r="C16" s="188"/>
      <c r="D16" s="188"/>
      <c r="E16" s="188"/>
      <c r="F16" s="188"/>
      <c r="G16" s="188"/>
      <c r="H16" s="188"/>
      <c r="I16" s="188"/>
      <c r="J16" s="188"/>
      <c r="K16" s="188"/>
      <c r="L16" s="188"/>
      <c r="M16" s="188"/>
      <c r="N16" s="188"/>
      <c r="O16" s="188"/>
    </row>
    <row r="17" spans="2:19" x14ac:dyDescent="0.25"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88"/>
    </row>
    <row r="18" spans="2:19" ht="18.75" x14ac:dyDescent="0.3">
      <c r="B18" s="189" t="s">
        <v>92</v>
      </c>
      <c r="C18" s="189"/>
      <c r="D18" s="189"/>
      <c r="E18" s="189"/>
      <c r="F18" s="189"/>
      <c r="G18" s="189"/>
      <c r="H18" s="189"/>
      <c r="I18" s="189"/>
      <c r="J18" s="189"/>
      <c r="K18" s="189"/>
      <c r="L18" s="189"/>
      <c r="M18" s="189"/>
      <c r="N18" s="189"/>
      <c r="O18" s="189"/>
    </row>
    <row r="19" spans="2:19" x14ac:dyDescent="0.25">
      <c r="B19" s="188" t="s">
        <v>157</v>
      </c>
      <c r="C19" s="188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</row>
    <row r="20" spans="2:19" x14ac:dyDescent="0.25">
      <c r="B20" s="188"/>
      <c r="C20" s="188"/>
      <c r="D20" s="188"/>
      <c r="E20" s="188"/>
      <c r="F20" s="188"/>
      <c r="G20" s="188"/>
      <c r="H20" s="188"/>
      <c r="I20" s="188"/>
      <c r="J20" s="188"/>
      <c r="K20" s="188"/>
      <c r="L20" s="188"/>
      <c r="M20" s="188"/>
      <c r="N20" s="188"/>
      <c r="O20" s="188"/>
    </row>
    <row r="21" spans="2:19" ht="18.75" x14ac:dyDescent="0.3">
      <c r="B21" s="189" t="s">
        <v>93</v>
      </c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189"/>
      <c r="N21" s="189"/>
      <c r="O21" s="189"/>
    </row>
    <row r="22" spans="2:19" x14ac:dyDescent="0.25">
      <c r="B22" s="188" t="s">
        <v>149</v>
      </c>
      <c r="C22" s="188"/>
      <c r="D22" s="188"/>
      <c r="E22" s="188"/>
      <c r="F22" s="188"/>
      <c r="G22" s="188"/>
      <c r="H22" s="188"/>
      <c r="I22" s="188"/>
      <c r="J22" s="188"/>
      <c r="K22" s="188"/>
      <c r="L22" s="188"/>
      <c r="M22" s="188"/>
      <c r="N22" s="188"/>
      <c r="O22" s="188"/>
    </row>
    <row r="23" spans="2:19" x14ac:dyDescent="0.25">
      <c r="B23" s="188"/>
      <c r="C23" s="188"/>
      <c r="D23" s="188"/>
      <c r="E23" s="188"/>
      <c r="F23" s="188"/>
      <c r="G23" s="188"/>
      <c r="H23" s="188"/>
      <c r="I23" s="188"/>
      <c r="J23" s="188"/>
      <c r="K23" s="188"/>
      <c r="L23" s="188"/>
      <c r="M23" s="188"/>
      <c r="N23" s="188"/>
      <c r="O23" s="188"/>
    </row>
    <row r="24" spans="2:19" ht="18.75" x14ac:dyDescent="0.3">
      <c r="B24" s="189" t="s">
        <v>153</v>
      </c>
      <c r="C24" s="189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</row>
    <row r="25" spans="2:19" x14ac:dyDescent="0.25">
      <c r="B25" s="188" t="s">
        <v>152</v>
      </c>
      <c r="C25" s="188"/>
      <c r="D25" s="188"/>
      <c r="E25" s="188"/>
      <c r="F25" s="188"/>
      <c r="G25" s="188"/>
      <c r="H25" s="188"/>
      <c r="I25" s="188"/>
      <c r="J25" s="188"/>
      <c r="K25" s="188"/>
      <c r="L25" s="188"/>
      <c r="M25" s="188"/>
      <c r="N25" s="188"/>
      <c r="O25" s="188"/>
    </row>
    <row r="26" spans="2:19" x14ac:dyDescent="0.25">
      <c r="B26" s="188"/>
      <c r="C26" s="188"/>
      <c r="D26" s="188"/>
      <c r="E26" s="188"/>
      <c r="F26" s="188"/>
      <c r="G26" s="188"/>
      <c r="H26" s="188"/>
      <c r="I26" s="188"/>
      <c r="J26" s="188"/>
      <c r="K26" s="188"/>
      <c r="L26" s="188"/>
      <c r="M26" s="188"/>
      <c r="N26" s="188"/>
      <c r="O26" s="188"/>
    </row>
    <row r="27" spans="2:19" ht="18.75" x14ac:dyDescent="0.3">
      <c r="B27" s="189" t="s">
        <v>163</v>
      </c>
      <c r="C27" s="189"/>
      <c r="D27" s="189"/>
      <c r="E27" s="189"/>
      <c r="F27" s="189"/>
      <c r="G27" s="189"/>
      <c r="H27" s="189"/>
      <c r="I27" s="189"/>
      <c r="J27" s="189"/>
      <c r="K27" s="189"/>
      <c r="L27" s="189"/>
      <c r="M27" s="189"/>
      <c r="N27" s="189"/>
      <c r="O27" s="189"/>
    </row>
    <row r="28" spans="2:19" x14ac:dyDescent="0.25">
      <c r="B28" s="188" t="s">
        <v>165</v>
      </c>
      <c r="C28" s="188"/>
      <c r="D28" s="188"/>
      <c r="E28" s="188"/>
      <c r="F28" s="188"/>
      <c r="G28" s="188"/>
      <c r="H28" s="188"/>
      <c r="I28" s="188"/>
      <c r="J28" s="188"/>
      <c r="K28" s="188"/>
      <c r="L28" s="188"/>
      <c r="M28" s="188"/>
      <c r="N28" s="188"/>
      <c r="O28" s="188"/>
    </row>
    <row r="29" spans="2:19" x14ac:dyDescent="0.25">
      <c r="B29" s="188" t="s">
        <v>196</v>
      </c>
      <c r="C29" s="188"/>
      <c r="D29" s="188"/>
      <c r="E29" s="188"/>
      <c r="F29" s="188"/>
      <c r="G29" s="188"/>
      <c r="H29" s="188"/>
      <c r="I29" s="188"/>
      <c r="J29" s="188"/>
      <c r="K29" s="188"/>
      <c r="L29" s="188"/>
      <c r="M29" s="188"/>
      <c r="N29" s="188"/>
      <c r="O29" s="188"/>
    </row>
    <row r="30" spans="2:19" x14ac:dyDescent="0.25"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8"/>
    </row>
    <row r="31" spans="2:19" ht="18.75" x14ac:dyDescent="0.3">
      <c r="B31" s="189" t="s">
        <v>511</v>
      </c>
      <c r="C31" s="189"/>
      <c r="D31" s="189"/>
      <c r="E31" s="189"/>
      <c r="F31" s="189"/>
      <c r="G31" s="189"/>
      <c r="H31" s="189"/>
      <c r="I31" s="189"/>
      <c r="J31" s="189"/>
      <c r="K31" s="189"/>
      <c r="L31" s="189"/>
      <c r="M31" s="189"/>
      <c r="N31" s="189"/>
      <c r="O31" s="189"/>
    </row>
    <row r="32" spans="2:19" x14ac:dyDescent="0.25">
      <c r="B32" s="188" t="s">
        <v>328</v>
      </c>
      <c r="C32" s="188"/>
      <c r="D32" s="188"/>
      <c r="E32" s="188"/>
      <c r="F32" s="188"/>
      <c r="G32" s="188"/>
      <c r="H32" s="188"/>
      <c r="I32" s="188"/>
      <c r="J32" s="188"/>
      <c r="K32" s="188"/>
      <c r="L32" s="188"/>
      <c r="M32" s="188"/>
      <c r="N32" s="188"/>
      <c r="O32" s="188"/>
      <c r="P32" s="188"/>
      <c r="Q32" s="188"/>
      <c r="R32" s="188"/>
      <c r="S32" s="188"/>
    </row>
    <row r="33" spans="2:15" x14ac:dyDescent="0.25">
      <c r="B33" s="188" t="s">
        <v>510</v>
      </c>
      <c r="C33" s="188"/>
      <c r="D33" s="188"/>
      <c r="E33" s="188"/>
      <c r="F33" s="188"/>
      <c r="G33" s="188"/>
      <c r="H33" s="188"/>
      <c r="I33" s="188"/>
      <c r="J33" s="188"/>
      <c r="K33" s="188"/>
      <c r="L33" s="188"/>
      <c r="M33" s="188"/>
      <c r="N33" s="188"/>
      <c r="O33" s="188"/>
    </row>
    <row r="34" spans="2:15" x14ac:dyDescent="0.25">
      <c r="B34" s="188"/>
      <c r="C34" s="188"/>
      <c r="D34" s="188"/>
      <c r="E34" s="188"/>
      <c r="F34" s="188"/>
      <c r="G34" s="188"/>
      <c r="H34" s="188"/>
      <c r="I34" s="188"/>
      <c r="J34" s="188"/>
      <c r="K34" s="188"/>
      <c r="L34" s="188"/>
      <c r="M34" s="188"/>
      <c r="N34" s="188"/>
      <c r="O34" s="188"/>
    </row>
    <row r="35" spans="2:15" ht="18.75" x14ac:dyDescent="0.3">
      <c r="B35" s="189" t="s">
        <v>440</v>
      </c>
      <c r="C35" s="189"/>
      <c r="D35" s="189"/>
      <c r="E35" s="189"/>
      <c r="F35" s="189"/>
      <c r="G35" s="189"/>
      <c r="H35" s="189"/>
      <c r="I35" s="189"/>
      <c r="J35" s="189"/>
      <c r="K35" s="189"/>
      <c r="L35" s="189"/>
      <c r="M35" s="189"/>
      <c r="N35" s="189"/>
      <c r="O35" s="189"/>
    </row>
    <row r="36" spans="2:15" x14ac:dyDescent="0.25">
      <c r="B36" s="188" t="s">
        <v>441</v>
      </c>
      <c r="C36" s="188"/>
      <c r="D36" s="188"/>
      <c r="E36" s="188"/>
      <c r="F36" s="188"/>
      <c r="G36" s="188"/>
      <c r="H36" s="188"/>
      <c r="I36" s="188"/>
      <c r="J36" s="188"/>
      <c r="K36" s="188"/>
      <c r="L36" s="188"/>
      <c r="M36" s="188"/>
      <c r="N36" s="188"/>
      <c r="O36" s="188"/>
    </row>
    <row r="37" spans="2:15" x14ac:dyDescent="0.25">
      <c r="B37" s="188"/>
      <c r="C37" s="188"/>
      <c r="D37" s="188"/>
      <c r="E37" s="188"/>
      <c r="F37" s="188"/>
      <c r="G37" s="188"/>
      <c r="H37" s="188"/>
      <c r="I37" s="188"/>
      <c r="J37" s="188"/>
      <c r="K37" s="188"/>
      <c r="L37" s="188"/>
      <c r="M37" s="188"/>
      <c r="N37" s="188"/>
      <c r="O37" s="188"/>
    </row>
    <row r="38" spans="2:15" x14ac:dyDescent="0.25">
      <c r="B38" s="188"/>
      <c r="C38" s="188"/>
      <c r="D38" s="188"/>
      <c r="E38" s="188"/>
      <c r="F38" s="188"/>
      <c r="G38" s="188"/>
      <c r="H38" s="188"/>
      <c r="I38" s="188"/>
      <c r="J38" s="188"/>
      <c r="K38" s="188"/>
      <c r="L38" s="188"/>
      <c r="M38" s="188"/>
      <c r="N38" s="188"/>
      <c r="O38" s="188"/>
    </row>
    <row r="39" spans="2:15" x14ac:dyDescent="0.25">
      <c r="B39" s="188"/>
      <c r="C39" s="188"/>
      <c r="D39" s="188"/>
      <c r="E39" s="188"/>
      <c r="F39" s="188"/>
      <c r="G39" s="188"/>
      <c r="H39" s="188"/>
      <c r="I39" s="188"/>
      <c r="J39" s="188"/>
      <c r="K39" s="188"/>
      <c r="L39" s="188"/>
      <c r="M39" s="188"/>
      <c r="N39" s="188"/>
      <c r="O39" s="188"/>
    </row>
    <row r="40" spans="2:15" x14ac:dyDescent="0.25">
      <c r="B40" s="188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  <c r="N40" s="188"/>
      <c r="O40" s="188"/>
    </row>
    <row r="41" spans="2:15" x14ac:dyDescent="0.25">
      <c r="B41" s="188"/>
      <c r="C41" s="188"/>
      <c r="D41" s="188"/>
      <c r="E41" s="188"/>
      <c r="F41" s="188"/>
      <c r="G41" s="188"/>
      <c r="H41" s="188"/>
      <c r="I41" s="188"/>
      <c r="J41" s="188"/>
      <c r="K41" s="188"/>
      <c r="L41" s="188"/>
      <c r="M41" s="188"/>
      <c r="N41" s="188"/>
      <c r="O41" s="188"/>
    </row>
    <row r="42" spans="2:15" x14ac:dyDescent="0.25">
      <c r="B42" s="188"/>
      <c r="C42" s="188"/>
      <c r="D42" s="188"/>
      <c r="E42" s="188"/>
      <c r="F42" s="188"/>
      <c r="G42" s="188"/>
      <c r="H42" s="188"/>
      <c r="I42" s="188"/>
      <c r="J42" s="188"/>
      <c r="K42" s="188"/>
      <c r="L42" s="188"/>
      <c r="M42" s="188"/>
      <c r="N42" s="188"/>
      <c r="O42" s="188"/>
    </row>
    <row r="43" spans="2:15" x14ac:dyDescent="0.25">
      <c r="B43" s="188"/>
      <c r="C43" s="188"/>
      <c r="D43" s="188"/>
      <c r="E43" s="188"/>
      <c r="F43" s="188"/>
      <c r="G43" s="188"/>
      <c r="H43" s="188"/>
      <c r="I43" s="188"/>
      <c r="J43" s="188"/>
      <c r="K43" s="188"/>
      <c r="L43" s="188"/>
      <c r="M43" s="188"/>
    </row>
  </sheetData>
  <mergeCells count="40">
    <mergeCell ref="B13:O13"/>
    <mergeCell ref="B14:O14"/>
    <mergeCell ref="B15:O15"/>
    <mergeCell ref="B16:O16"/>
    <mergeCell ref="A1:XFD1"/>
    <mergeCell ref="B2:M2"/>
    <mergeCell ref="B3:O3"/>
    <mergeCell ref="B4:O4"/>
    <mergeCell ref="B10:O10"/>
    <mergeCell ref="B12:O12"/>
    <mergeCell ref="B6:O6"/>
    <mergeCell ref="B7:O7"/>
    <mergeCell ref="B9:O9"/>
    <mergeCell ref="B43:M43"/>
    <mergeCell ref="B41:O41"/>
    <mergeCell ref="B42:O42"/>
    <mergeCell ref="B27:O27"/>
    <mergeCell ref="B28:O28"/>
    <mergeCell ref="B29:O29"/>
    <mergeCell ref="B30:O30"/>
    <mergeCell ref="B31:O31"/>
    <mergeCell ref="B33:O33"/>
    <mergeCell ref="B34:O34"/>
    <mergeCell ref="B35:O35"/>
    <mergeCell ref="B36:O36"/>
    <mergeCell ref="B37:O37"/>
    <mergeCell ref="B38:O38"/>
    <mergeCell ref="B39:O39"/>
    <mergeCell ref="B40:O40"/>
    <mergeCell ref="B17:O17"/>
    <mergeCell ref="B18:O18"/>
    <mergeCell ref="B19:O19"/>
    <mergeCell ref="B20:O20"/>
    <mergeCell ref="B21:O21"/>
    <mergeCell ref="B32:S32"/>
    <mergeCell ref="B22:O22"/>
    <mergeCell ref="B23:O23"/>
    <mergeCell ref="B24:O24"/>
    <mergeCell ref="B25:O25"/>
    <mergeCell ref="B26:O26"/>
  </mergeCells>
  <hyperlinks>
    <hyperlink ref="B12" location="If!A1" display="The If function"/>
    <hyperlink ref="B15" location="'Max &amp; Min'!A1" display="Max/Min etc. functions"/>
    <hyperlink ref="B18" location="Count!A1" display="The Count function"/>
    <hyperlink ref="B21" location="Sum!A1" display="The Sum function"/>
    <hyperlink ref="B24" location="'The $ symbol'!A1" display="Absolute referencing (aka the $ symbol)"/>
    <hyperlink ref="B27" location="'The $ symbol'!A1" display="Absolute referencing (aka the $ symbol)"/>
    <hyperlink ref="B27:O27" location="Indirect!A1" display="The Indirect Function"/>
    <hyperlink ref="B31" location="'The $ symbol'!A1" display="Absolute referencing (aka the $ symbol)"/>
    <hyperlink ref="B31:O31" location="Vlookup!A1" display="The Vlookup Function"/>
    <hyperlink ref="B6" location="If!A1" display="The If function"/>
    <hyperlink ref="B6:O6" location="General!A1" display="General Tips &amp; Tricks"/>
    <hyperlink ref="B35" location="'The $ symbol'!A1" display="Absolute referencing (aka the $ symbol)"/>
    <hyperlink ref="B35:O35" location="Macros!A1" display="An Introduction to Macros"/>
    <hyperlink ref="B9" location="If!A1" display="The If function"/>
    <hyperlink ref="B9:O9" location="Graphs!A1" display="Graphs &amp; Charts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222"/>
  <sheetViews>
    <sheetView showGridLines="0" workbookViewId="0">
      <pane ySplit="2" topLeftCell="A3" activePane="bottomLeft" state="frozen"/>
      <selection pane="bottomLeft" sqref="A1:XFD1"/>
    </sheetView>
  </sheetViews>
  <sheetFormatPr defaultRowHeight="15" x14ac:dyDescent="0.25"/>
  <cols>
    <col min="2" max="2" width="12.85546875" customWidth="1"/>
    <col min="3" max="3" width="11.42578125" customWidth="1"/>
    <col min="11" max="11" width="10.7109375" customWidth="1"/>
  </cols>
  <sheetData>
    <row r="1" spans="1:2" s="195" customFormat="1" ht="19.5" thickBot="1" x14ac:dyDescent="0.35">
      <c r="A1" s="194" t="s">
        <v>146</v>
      </c>
    </row>
    <row r="2" spans="1:2" s="191" customFormat="1" ht="24" thickBot="1" x14ac:dyDescent="0.4">
      <c r="A2" s="190" t="s">
        <v>349</v>
      </c>
    </row>
    <row r="4" spans="1:2" s="120" customFormat="1" x14ac:dyDescent="0.25">
      <c r="B4" s="120" t="s">
        <v>350</v>
      </c>
    </row>
    <row r="5" spans="1:2" s="120" customFormat="1" x14ac:dyDescent="0.25"/>
    <row r="6" spans="1:2" s="120" customFormat="1" ht="15.75" thickBot="1" x14ac:dyDescent="0.3"/>
    <row r="7" spans="1:2" s="191" customFormat="1" ht="24" thickBot="1" x14ac:dyDescent="0.4">
      <c r="A7" s="190" t="s">
        <v>346</v>
      </c>
      <c r="B7" s="191" t="s">
        <v>341</v>
      </c>
    </row>
    <row r="8" spans="1:2" ht="18.75" x14ac:dyDescent="0.3">
      <c r="B8" s="126"/>
    </row>
    <row r="9" spans="1:2" x14ac:dyDescent="0.25">
      <c r="B9" t="s">
        <v>347</v>
      </c>
    </row>
    <row r="11" spans="1:2" x14ac:dyDescent="0.25">
      <c r="B11" t="s">
        <v>348</v>
      </c>
    </row>
    <row r="12" spans="1:2" x14ac:dyDescent="0.25">
      <c r="B12" t="s">
        <v>351</v>
      </c>
    </row>
    <row r="13" spans="1:2" x14ac:dyDescent="0.25">
      <c r="B13" t="s">
        <v>352</v>
      </c>
    </row>
    <row r="14" spans="1:2" x14ac:dyDescent="0.25">
      <c r="B14" t="s">
        <v>353</v>
      </c>
    </row>
    <row r="28" spans="1:2" s="120" customFormat="1" x14ac:dyDescent="0.25"/>
    <row r="29" spans="1:2" s="120" customFormat="1" x14ac:dyDescent="0.25"/>
    <row r="30" spans="1:2" ht="15.75" thickBot="1" x14ac:dyDescent="0.3"/>
    <row r="31" spans="1:2" s="191" customFormat="1" ht="24" thickBot="1" x14ac:dyDescent="0.4">
      <c r="A31" s="190" t="s">
        <v>354</v>
      </c>
      <c r="B31" s="191" t="s">
        <v>341</v>
      </c>
    </row>
    <row r="33" spans="2:2" x14ac:dyDescent="0.25">
      <c r="B33" t="s">
        <v>355</v>
      </c>
    </row>
    <row r="35" spans="2:2" x14ac:dyDescent="0.25">
      <c r="B35" t="str">
        <f>"This one shows a hyperlink to get to the homepage and a heading: '" &amp; A2 &amp;"'"</f>
        <v>This one shows a hyperlink to get to the homepage and a heading: 'General Tips &amp; Tricks'</v>
      </c>
    </row>
    <row r="36" spans="2:2" x14ac:dyDescent="0.25">
      <c r="B36" t="s">
        <v>356</v>
      </c>
    </row>
    <row r="37" spans="2:2" x14ac:dyDescent="0.25">
      <c r="B37" t="s">
        <v>357</v>
      </c>
    </row>
    <row r="39" spans="2:2" x14ac:dyDescent="0.25">
      <c r="B39" t="s">
        <v>358</v>
      </c>
    </row>
    <row r="40" spans="2:2" x14ac:dyDescent="0.25">
      <c r="B40" t="s">
        <v>359</v>
      </c>
    </row>
    <row r="42" spans="2:2" x14ac:dyDescent="0.25">
      <c r="B42" t="s">
        <v>360</v>
      </c>
    </row>
    <row r="43" spans="2:2" x14ac:dyDescent="0.25">
      <c r="B43" t="s">
        <v>361</v>
      </c>
    </row>
    <row r="44" spans="2:2" x14ac:dyDescent="0.25">
      <c r="B44" t="s">
        <v>362</v>
      </c>
    </row>
    <row r="46" spans="2:2" x14ac:dyDescent="0.25">
      <c r="B46" t="s">
        <v>363</v>
      </c>
    </row>
    <row r="48" spans="2:2" s="120" customFormat="1" x14ac:dyDescent="0.25"/>
    <row r="49" spans="1:3" s="120" customFormat="1" x14ac:dyDescent="0.25">
      <c r="B49" s="120" t="s">
        <v>365</v>
      </c>
    </row>
    <row r="50" spans="1:3" s="120" customFormat="1" x14ac:dyDescent="0.25"/>
    <row r="51" spans="1:3" ht="15.75" thickBot="1" x14ac:dyDescent="0.3"/>
    <row r="52" spans="1:3" s="191" customFormat="1" ht="24" thickBot="1" x14ac:dyDescent="0.4">
      <c r="A52" s="190" t="s">
        <v>341</v>
      </c>
      <c r="B52" s="191" t="s">
        <v>341</v>
      </c>
    </row>
    <row r="54" spans="1:3" s="120" customFormat="1" x14ac:dyDescent="0.25">
      <c r="B54" s="124">
        <f ca="1">TODAY()</f>
        <v>42524</v>
      </c>
      <c r="C54" s="1" t="s">
        <v>340</v>
      </c>
    </row>
    <row r="55" spans="1:3" s="120" customFormat="1" x14ac:dyDescent="0.25">
      <c r="C55" s="1"/>
    </row>
    <row r="56" spans="1:3" s="120" customFormat="1" x14ac:dyDescent="0.25">
      <c r="B56" s="124" t="s">
        <v>345</v>
      </c>
      <c r="C56" s="1"/>
    </row>
    <row r="57" spans="1:3" s="120" customFormat="1" x14ac:dyDescent="0.25">
      <c r="B57" s="172" t="s">
        <v>364</v>
      </c>
      <c r="C57" s="1"/>
    </row>
    <row r="58" spans="1:3" s="120" customFormat="1" x14ac:dyDescent="0.25">
      <c r="B58" s="124"/>
      <c r="C58" s="1"/>
    </row>
    <row r="59" spans="1:3" ht="15.75" thickBot="1" x14ac:dyDescent="0.3"/>
    <row r="60" spans="1:3" s="191" customFormat="1" ht="24" thickBot="1" x14ac:dyDescent="0.4">
      <c r="A60" s="190" t="s">
        <v>366</v>
      </c>
      <c r="B60" s="191" t="s">
        <v>341</v>
      </c>
    </row>
    <row r="62" spans="1:3" x14ac:dyDescent="0.25">
      <c r="B62" t="s">
        <v>367</v>
      </c>
    </row>
    <row r="63" spans="1:3" x14ac:dyDescent="0.25">
      <c r="B63" t="s">
        <v>368</v>
      </c>
    </row>
    <row r="65" spans="2:25" x14ac:dyDescent="0.25">
      <c r="B65" s="29" t="s">
        <v>369</v>
      </c>
      <c r="M65" s="29" t="s">
        <v>373</v>
      </c>
    </row>
    <row r="66" spans="2:25" ht="15.75" thickBot="1" x14ac:dyDescent="0.3"/>
    <row r="67" spans="2:25" x14ac:dyDescent="0.25">
      <c r="B67" s="128">
        <v>1</v>
      </c>
      <c r="C67" s="129">
        <v>50</v>
      </c>
      <c r="D67" s="130" t="s">
        <v>370</v>
      </c>
      <c r="G67" s="135"/>
      <c r="H67" s="114"/>
      <c r="I67" s="114"/>
      <c r="J67" s="114"/>
      <c r="X67" s="127"/>
      <c r="Y67" s="127"/>
    </row>
    <row r="68" spans="2:25" x14ac:dyDescent="0.25">
      <c r="B68" s="131">
        <v>2</v>
      </c>
      <c r="C68" s="114">
        <v>20</v>
      </c>
      <c r="D68" s="132" t="s">
        <v>60</v>
      </c>
      <c r="G68" s="114"/>
      <c r="H68" s="114"/>
      <c r="I68" s="114"/>
      <c r="J68" s="114"/>
      <c r="T68" s="127"/>
      <c r="U68" s="127"/>
      <c r="X68" s="127"/>
      <c r="Y68" s="127"/>
    </row>
    <row r="69" spans="2:25" x14ac:dyDescent="0.25">
      <c r="B69" s="131">
        <v>3</v>
      </c>
      <c r="C69" s="114">
        <v>30</v>
      </c>
      <c r="D69" s="132" t="s">
        <v>371</v>
      </c>
      <c r="G69" s="114"/>
      <c r="H69" s="114"/>
      <c r="I69" s="114"/>
      <c r="J69" s="114"/>
      <c r="S69" s="127"/>
      <c r="T69" s="127"/>
      <c r="U69" s="127"/>
      <c r="X69" s="127"/>
      <c r="Y69" s="127"/>
    </row>
    <row r="70" spans="2:25" ht="15.75" thickBot="1" x14ac:dyDescent="0.3">
      <c r="B70" s="133">
        <v>4</v>
      </c>
      <c r="C70" s="134">
        <v>10</v>
      </c>
      <c r="D70" s="23" t="s">
        <v>372</v>
      </c>
      <c r="S70" s="127"/>
      <c r="T70" s="127"/>
      <c r="U70" s="127"/>
      <c r="X70" s="127"/>
      <c r="Y70" s="127"/>
    </row>
    <row r="71" spans="2:25" x14ac:dyDescent="0.25">
      <c r="S71" s="127"/>
      <c r="T71" s="127"/>
      <c r="U71" s="127"/>
      <c r="X71" s="127"/>
      <c r="Y71" s="127"/>
    </row>
    <row r="72" spans="2:25" x14ac:dyDescent="0.25">
      <c r="B72" t="s">
        <v>374</v>
      </c>
      <c r="G72" t="s">
        <v>375</v>
      </c>
      <c r="S72" s="127"/>
      <c r="T72" s="127"/>
      <c r="U72" s="127"/>
      <c r="X72" s="127"/>
      <c r="Y72" s="127"/>
    </row>
    <row r="73" spans="2:25" x14ac:dyDescent="0.25">
      <c r="B73" t="s">
        <v>377</v>
      </c>
      <c r="G73" t="s">
        <v>376</v>
      </c>
      <c r="S73" s="127"/>
      <c r="T73" s="127"/>
      <c r="U73" s="127"/>
      <c r="X73" s="127"/>
      <c r="Y73" s="127"/>
    </row>
    <row r="74" spans="2:25" x14ac:dyDescent="0.25">
      <c r="S74" s="127"/>
      <c r="T74" s="127"/>
      <c r="U74" s="127"/>
      <c r="X74" s="127"/>
      <c r="Y74" s="127"/>
    </row>
    <row r="75" spans="2:25" x14ac:dyDescent="0.25">
      <c r="S75" s="127"/>
      <c r="T75" s="127"/>
      <c r="U75" s="127"/>
      <c r="X75" s="127"/>
      <c r="Y75" s="127"/>
    </row>
    <row r="76" spans="2:25" x14ac:dyDescent="0.25">
      <c r="B76" s="136" t="s">
        <v>378</v>
      </c>
      <c r="S76" s="127"/>
      <c r="T76" s="127"/>
      <c r="U76" s="127"/>
      <c r="X76" s="127"/>
      <c r="Y76" s="127"/>
    </row>
    <row r="77" spans="2:25" x14ac:dyDescent="0.25">
      <c r="B77" t="s">
        <v>379</v>
      </c>
    </row>
    <row r="78" spans="2:25" x14ac:dyDescent="0.25">
      <c r="B78" s="29" t="s">
        <v>380</v>
      </c>
    </row>
    <row r="80" spans="2:25" ht="15.75" thickBot="1" x14ac:dyDescent="0.3"/>
    <row r="81" spans="1:8" s="191" customFormat="1" ht="24" thickBot="1" x14ac:dyDescent="0.4">
      <c r="A81" s="190" t="s">
        <v>381</v>
      </c>
      <c r="B81" s="191" t="s">
        <v>341</v>
      </c>
    </row>
    <row r="83" spans="1:8" x14ac:dyDescent="0.25">
      <c r="B83" t="s">
        <v>382</v>
      </c>
    </row>
    <row r="85" spans="1:8" x14ac:dyDescent="0.25">
      <c r="B85" t="s">
        <v>383</v>
      </c>
    </row>
    <row r="86" spans="1:8" s="121" customFormat="1" x14ac:dyDescent="0.25"/>
    <row r="87" spans="1:8" s="121" customFormat="1" x14ac:dyDescent="0.25">
      <c r="B87" s="121" t="s">
        <v>391</v>
      </c>
    </row>
    <row r="89" spans="1:8" s="121" customFormat="1" x14ac:dyDescent="0.25">
      <c r="B89" s="29" t="s">
        <v>384</v>
      </c>
    </row>
    <row r="90" spans="1:8" s="121" customFormat="1" ht="15.75" thickBot="1" x14ac:dyDescent="0.3"/>
    <row r="91" spans="1:8" ht="15.75" thickBot="1" x14ac:dyDescent="0.3">
      <c r="B91" s="116">
        <v>5</v>
      </c>
      <c r="C91" s="137">
        <f>B91*1+3</f>
        <v>8</v>
      </c>
      <c r="D91" s="129">
        <f t="shared" ref="D91:E91" si="0">C91*1+3</f>
        <v>11</v>
      </c>
      <c r="E91" s="129">
        <f t="shared" si="0"/>
        <v>14</v>
      </c>
      <c r="F91" s="130">
        <f>E91*1+3</f>
        <v>17</v>
      </c>
      <c r="H91" t="s">
        <v>385</v>
      </c>
    </row>
    <row r="92" spans="1:8" x14ac:dyDescent="0.25">
      <c r="B92" s="138">
        <f>B91+5</f>
        <v>10</v>
      </c>
      <c r="C92" s="114">
        <f>B92*1+3</f>
        <v>13</v>
      </c>
      <c r="D92" s="114">
        <f>C92*1+3</f>
        <v>16</v>
      </c>
      <c r="E92" s="114">
        <f t="shared" ref="C92:E104" si="1">D92*1+3</f>
        <v>19</v>
      </c>
      <c r="F92" s="132">
        <f t="shared" ref="F92" si="2">E92*1+3</f>
        <v>22</v>
      </c>
    </row>
    <row r="93" spans="1:8" x14ac:dyDescent="0.25">
      <c r="B93" s="131">
        <f t="shared" ref="B93:B104" si="3">B92+5</f>
        <v>15</v>
      </c>
      <c r="C93" s="114">
        <f t="shared" si="1"/>
        <v>18</v>
      </c>
      <c r="D93" s="114">
        <f t="shared" si="1"/>
        <v>21</v>
      </c>
      <c r="E93" s="114">
        <f t="shared" si="1"/>
        <v>24</v>
      </c>
      <c r="F93" s="132">
        <f t="shared" ref="F93" si="4">E93*1+3</f>
        <v>27</v>
      </c>
      <c r="H93" t="s">
        <v>386</v>
      </c>
    </row>
    <row r="94" spans="1:8" x14ac:dyDescent="0.25">
      <c r="B94" s="131">
        <f t="shared" si="3"/>
        <v>20</v>
      </c>
      <c r="C94" s="114">
        <f t="shared" si="1"/>
        <v>23</v>
      </c>
      <c r="D94" s="114">
        <f t="shared" si="1"/>
        <v>26</v>
      </c>
      <c r="E94" s="114">
        <f t="shared" si="1"/>
        <v>29</v>
      </c>
      <c r="F94" s="132">
        <f t="shared" ref="F94" si="5">E94*1+3</f>
        <v>32</v>
      </c>
    </row>
    <row r="95" spans="1:8" x14ac:dyDescent="0.25">
      <c r="B95" s="131">
        <f t="shared" si="3"/>
        <v>25</v>
      </c>
      <c r="C95" s="114">
        <f t="shared" si="1"/>
        <v>28</v>
      </c>
      <c r="D95" s="114">
        <f t="shared" si="1"/>
        <v>31</v>
      </c>
      <c r="E95" s="114">
        <f t="shared" si="1"/>
        <v>34</v>
      </c>
      <c r="F95" s="132">
        <f t="shared" ref="F95" si="6">E95*1+3</f>
        <v>37</v>
      </c>
      <c r="H95" t="s">
        <v>387</v>
      </c>
    </row>
    <row r="96" spans="1:8" x14ac:dyDescent="0.25">
      <c r="B96" s="131">
        <f t="shared" si="3"/>
        <v>30</v>
      </c>
      <c r="C96" s="114">
        <f t="shared" si="1"/>
        <v>33</v>
      </c>
      <c r="D96" s="114">
        <f t="shared" si="1"/>
        <v>36</v>
      </c>
      <c r="E96" s="114">
        <f t="shared" si="1"/>
        <v>39</v>
      </c>
      <c r="F96" s="132">
        <f t="shared" ref="F96" si="7">E96*1+3</f>
        <v>42</v>
      </c>
    </row>
    <row r="97" spans="1:8" x14ac:dyDescent="0.25">
      <c r="B97" s="131">
        <f t="shared" si="3"/>
        <v>35</v>
      </c>
      <c r="C97" s="114">
        <f t="shared" si="1"/>
        <v>38</v>
      </c>
      <c r="D97" s="114">
        <f t="shared" si="1"/>
        <v>41</v>
      </c>
      <c r="E97" s="114">
        <f t="shared" si="1"/>
        <v>44</v>
      </c>
      <c r="F97" s="132">
        <f t="shared" ref="F97" si="8">E97*1+3</f>
        <v>47</v>
      </c>
      <c r="H97" t="s">
        <v>388</v>
      </c>
    </row>
    <row r="98" spans="1:8" x14ac:dyDescent="0.25">
      <c r="B98" s="131">
        <f t="shared" si="3"/>
        <v>40</v>
      </c>
      <c r="C98" s="114">
        <f t="shared" si="1"/>
        <v>43</v>
      </c>
      <c r="D98" s="114">
        <f t="shared" si="1"/>
        <v>46</v>
      </c>
      <c r="E98" s="114">
        <f t="shared" si="1"/>
        <v>49</v>
      </c>
      <c r="F98" s="132">
        <f t="shared" ref="F98" si="9">E98*1+3</f>
        <v>52</v>
      </c>
    </row>
    <row r="99" spans="1:8" x14ac:dyDescent="0.25">
      <c r="B99" s="131">
        <f t="shared" si="3"/>
        <v>45</v>
      </c>
      <c r="C99" s="114">
        <f t="shared" si="1"/>
        <v>48</v>
      </c>
      <c r="D99" s="114">
        <f t="shared" si="1"/>
        <v>51</v>
      </c>
      <c r="E99" s="114">
        <f t="shared" si="1"/>
        <v>54</v>
      </c>
      <c r="F99" s="132">
        <f t="shared" ref="F99" si="10">E99*1+3</f>
        <v>57</v>
      </c>
      <c r="H99" t="s">
        <v>389</v>
      </c>
    </row>
    <row r="100" spans="1:8" x14ac:dyDescent="0.25">
      <c r="B100" s="131">
        <f t="shared" si="3"/>
        <v>50</v>
      </c>
      <c r="C100" s="114">
        <f t="shared" si="1"/>
        <v>53</v>
      </c>
      <c r="D100" s="114">
        <f t="shared" si="1"/>
        <v>56</v>
      </c>
      <c r="E100" s="114">
        <f t="shared" si="1"/>
        <v>59</v>
      </c>
      <c r="F100" s="132">
        <f t="shared" ref="F100" si="11">E100*1+3</f>
        <v>62</v>
      </c>
    </row>
    <row r="101" spans="1:8" x14ac:dyDescent="0.25">
      <c r="B101" s="131">
        <f t="shared" si="3"/>
        <v>55</v>
      </c>
      <c r="C101" s="114">
        <f t="shared" si="1"/>
        <v>58</v>
      </c>
      <c r="D101" s="114">
        <f t="shared" si="1"/>
        <v>61</v>
      </c>
      <c r="E101" s="114">
        <f t="shared" si="1"/>
        <v>64</v>
      </c>
      <c r="F101" s="132">
        <f t="shared" ref="F101" si="12">E101*1+3</f>
        <v>67</v>
      </c>
    </row>
    <row r="102" spans="1:8" x14ac:dyDescent="0.25">
      <c r="B102" s="131">
        <f t="shared" si="3"/>
        <v>60</v>
      </c>
      <c r="C102" s="114">
        <f t="shared" si="1"/>
        <v>63</v>
      </c>
      <c r="D102" s="114">
        <f t="shared" si="1"/>
        <v>66</v>
      </c>
      <c r="E102" s="114">
        <f t="shared" si="1"/>
        <v>69</v>
      </c>
      <c r="F102" s="132">
        <f t="shared" ref="F102" si="13">E102*1+3</f>
        <v>72</v>
      </c>
      <c r="H102" t="s">
        <v>390</v>
      </c>
    </row>
    <row r="103" spans="1:8" x14ac:dyDescent="0.25">
      <c r="B103" s="131">
        <f t="shared" si="3"/>
        <v>65</v>
      </c>
      <c r="C103" s="114">
        <f t="shared" si="1"/>
        <v>68</v>
      </c>
      <c r="D103" s="114">
        <f t="shared" si="1"/>
        <v>71</v>
      </c>
      <c r="E103" s="114">
        <f t="shared" si="1"/>
        <v>74</v>
      </c>
      <c r="F103" s="132">
        <f t="shared" ref="F103" si="14">E103*1+3</f>
        <v>77</v>
      </c>
    </row>
    <row r="104" spans="1:8" ht="15.75" thickBot="1" x14ac:dyDescent="0.3">
      <c r="B104" s="133">
        <f t="shared" si="3"/>
        <v>70</v>
      </c>
      <c r="C104" s="134">
        <f t="shared" si="1"/>
        <v>73</v>
      </c>
      <c r="D104" s="134">
        <f t="shared" si="1"/>
        <v>76</v>
      </c>
      <c r="E104" s="134">
        <f t="shared" si="1"/>
        <v>79</v>
      </c>
      <c r="F104" s="23">
        <f t="shared" ref="F104" si="15">E104*1+3</f>
        <v>82</v>
      </c>
    </row>
    <row r="106" spans="1:8" ht="15.75" thickBot="1" x14ac:dyDescent="0.3"/>
    <row r="107" spans="1:8" s="191" customFormat="1" ht="24" thickBot="1" x14ac:dyDescent="0.4">
      <c r="A107" s="190" t="s">
        <v>392</v>
      </c>
      <c r="B107" s="191" t="s">
        <v>341</v>
      </c>
    </row>
    <row r="109" spans="1:8" x14ac:dyDescent="0.25">
      <c r="B109" t="s">
        <v>393</v>
      </c>
    </row>
    <row r="111" spans="1:8" ht="15.75" thickBot="1" x14ac:dyDescent="0.3">
      <c r="B111" t="s">
        <v>398</v>
      </c>
      <c r="C111" t="s">
        <v>394</v>
      </c>
    </row>
    <row r="112" spans="1:8" ht="15.75" thickBot="1" x14ac:dyDescent="0.3">
      <c r="B112" t="s">
        <v>399</v>
      </c>
      <c r="C112" s="33" t="s">
        <v>395</v>
      </c>
    </row>
    <row r="113" spans="1:11" ht="15.75" thickBot="1" x14ac:dyDescent="0.3"/>
    <row r="114" spans="1:11" ht="15.75" thickBot="1" x14ac:dyDescent="0.3">
      <c r="B114" t="s">
        <v>396</v>
      </c>
      <c r="C114" s="199" t="str">
        <f>C111 &amp; C112</f>
        <v>My name is Richard</v>
      </c>
      <c r="D114" s="200"/>
      <c r="E114" s="200"/>
      <c r="F114" s="201"/>
      <c r="G114" t="s">
        <v>397</v>
      </c>
    </row>
    <row r="115" spans="1:11" s="121" customFormat="1" x14ac:dyDescent="0.25">
      <c r="C115" s="4"/>
      <c r="D115" s="4"/>
      <c r="E115" s="4"/>
      <c r="F115" s="4"/>
    </row>
    <row r="117" spans="1:11" ht="15.75" thickBot="1" x14ac:dyDescent="0.3"/>
    <row r="118" spans="1:11" s="191" customFormat="1" ht="24" thickBot="1" x14ac:dyDescent="0.4">
      <c r="A118" s="190" t="s">
        <v>400</v>
      </c>
      <c r="B118" s="191" t="s">
        <v>341</v>
      </c>
    </row>
    <row r="119" spans="1:11" ht="15.75" thickBot="1" x14ac:dyDescent="0.3"/>
    <row r="120" spans="1:11" ht="15.75" thickBot="1" x14ac:dyDescent="0.3">
      <c r="B120" t="s">
        <v>401</v>
      </c>
      <c r="D120" s="199" t="s">
        <v>403</v>
      </c>
      <c r="E120" s="200"/>
      <c r="F120" s="200"/>
      <c r="G120" s="200"/>
      <c r="H120" s="200"/>
      <c r="I120" s="200"/>
      <c r="J120" s="201"/>
    </row>
    <row r="121" spans="1:11" ht="15.75" thickBot="1" x14ac:dyDescent="0.3">
      <c r="D121" s="196"/>
      <c r="E121" s="196"/>
      <c r="F121" s="196"/>
      <c r="G121" s="196"/>
      <c r="H121" s="196"/>
      <c r="I121" s="196"/>
      <c r="J121" s="196"/>
    </row>
    <row r="122" spans="1:11" ht="15.75" thickBot="1" x14ac:dyDescent="0.3">
      <c r="B122" s="1" t="s">
        <v>427</v>
      </c>
      <c r="D122" s="199" t="str">
        <f>UPPER(D120)</f>
        <v>(57) VENTILATION &amp; FIRE SERVICES - GROUND FLOOR</v>
      </c>
      <c r="E122" s="200"/>
      <c r="F122" s="200"/>
      <c r="G122" s="200"/>
      <c r="H122" s="200"/>
      <c r="I122" s="200"/>
      <c r="J122" s="201"/>
      <c r="K122" t="s">
        <v>402</v>
      </c>
    </row>
    <row r="123" spans="1:11" ht="15.75" thickBot="1" x14ac:dyDescent="0.3">
      <c r="D123" s="196"/>
      <c r="E123" s="196"/>
      <c r="F123" s="196"/>
      <c r="G123" s="196"/>
      <c r="H123" s="196"/>
      <c r="I123" s="196"/>
      <c r="J123" s="196"/>
    </row>
    <row r="124" spans="1:11" ht="15.75" thickBot="1" x14ac:dyDescent="0.3">
      <c r="B124" s="1" t="s">
        <v>426</v>
      </c>
      <c r="D124" s="199" t="str">
        <f>LOWER(D120)</f>
        <v>(57) ventilation &amp; fire services - ground floor</v>
      </c>
      <c r="E124" s="200"/>
      <c r="F124" s="200"/>
      <c r="G124" s="200"/>
      <c r="H124" s="200"/>
      <c r="I124" s="200"/>
      <c r="J124" s="201"/>
      <c r="K124" s="121" t="s">
        <v>402</v>
      </c>
    </row>
    <row r="126" spans="1:11" ht="15.75" thickBot="1" x14ac:dyDescent="0.3"/>
    <row r="127" spans="1:11" s="191" customFormat="1" ht="24" thickBot="1" x14ac:dyDescent="0.4">
      <c r="A127" s="190" t="s">
        <v>486</v>
      </c>
      <c r="B127" s="191" t="s">
        <v>341</v>
      </c>
    </row>
    <row r="128" spans="1:11" s="162" customFormat="1" x14ac:dyDescent="0.25"/>
    <row r="129" spans="1:5" s="162" customFormat="1" x14ac:dyDescent="0.25">
      <c r="B129" s="164" t="s">
        <v>487</v>
      </c>
      <c r="C129" s="197" t="s">
        <v>16</v>
      </c>
      <c r="D129" s="197"/>
      <c r="E129" s="136" t="s">
        <v>490</v>
      </c>
    </row>
    <row r="130" spans="1:5" s="162" customFormat="1" x14ac:dyDescent="0.25">
      <c r="C130" s="196"/>
      <c r="D130" s="196"/>
    </row>
    <row r="131" spans="1:5" s="162" customFormat="1" x14ac:dyDescent="0.25">
      <c r="B131" s="166">
        <v>137543.17000000001</v>
      </c>
      <c r="C131" s="198">
        <f>ROUND(B131,1)</f>
        <v>137543.20000000001</v>
      </c>
      <c r="D131" s="198"/>
      <c r="E131" s="1" t="s">
        <v>488</v>
      </c>
    </row>
    <row r="132" spans="1:5" s="162" customFormat="1" x14ac:dyDescent="0.25">
      <c r="C132" s="196"/>
      <c r="D132" s="196"/>
    </row>
    <row r="133" spans="1:5" s="162" customFormat="1" x14ac:dyDescent="0.25">
      <c r="B133" s="163">
        <v>137543.17000000001</v>
      </c>
      <c r="C133" s="198">
        <f>CEILING(B133,10)</f>
        <v>137550</v>
      </c>
      <c r="D133" s="198"/>
      <c r="E133" s="1" t="s">
        <v>489</v>
      </c>
    </row>
    <row r="134" spans="1:5" s="162" customFormat="1" x14ac:dyDescent="0.25"/>
    <row r="135" spans="1:5" s="162" customFormat="1" x14ac:dyDescent="0.25">
      <c r="B135" s="163">
        <v>137543.17000000001</v>
      </c>
      <c r="C135" s="198">
        <f>FLOOR(B135,100)</f>
        <v>137500</v>
      </c>
      <c r="D135" s="198"/>
      <c r="E135" s="1" t="s">
        <v>491</v>
      </c>
    </row>
    <row r="136" spans="1:5" s="162" customFormat="1" x14ac:dyDescent="0.25">
      <c r="B136" s="163"/>
      <c r="C136" s="163"/>
      <c r="D136" s="163"/>
      <c r="E136" s="1"/>
    </row>
    <row r="137" spans="1:5" s="162" customFormat="1" ht="15.75" thickBot="1" x14ac:dyDescent="0.3"/>
    <row r="138" spans="1:5" s="191" customFormat="1" ht="24" thickBot="1" x14ac:dyDescent="0.4">
      <c r="A138" s="190" t="s">
        <v>540</v>
      </c>
      <c r="B138" s="191" t="s">
        <v>341</v>
      </c>
    </row>
    <row r="139" spans="1:5" s="173" customFormat="1" x14ac:dyDescent="0.25"/>
    <row r="140" spans="1:5" s="173" customFormat="1" ht="15.75" thickBot="1" x14ac:dyDescent="0.3"/>
    <row r="141" spans="1:5" s="173" customFormat="1" x14ac:dyDescent="0.25">
      <c r="B141" s="178">
        <f ca="1">RANDBETWEEN(0,100)</f>
        <v>51</v>
      </c>
      <c r="D141" s="173" t="s">
        <v>543</v>
      </c>
    </row>
    <row r="142" spans="1:5" s="173" customFormat="1" x14ac:dyDescent="0.25">
      <c r="B142" s="179">
        <f t="shared" ref="B142:B147" ca="1" si="16">RANDBETWEEN(0,100)</f>
        <v>30</v>
      </c>
    </row>
    <row r="143" spans="1:5" s="173" customFormat="1" x14ac:dyDescent="0.25">
      <c r="B143" s="179">
        <f t="shared" ca="1" si="16"/>
        <v>41</v>
      </c>
      <c r="D143" s="1" t="s">
        <v>541</v>
      </c>
    </row>
    <row r="144" spans="1:5" s="173" customFormat="1" x14ac:dyDescent="0.25">
      <c r="B144" s="179">
        <f t="shared" ca="1" si="16"/>
        <v>41</v>
      </c>
    </row>
    <row r="145" spans="1:5" s="173" customFormat="1" x14ac:dyDescent="0.25">
      <c r="B145" s="179">
        <f t="shared" ca="1" si="16"/>
        <v>54</v>
      </c>
      <c r="D145" s="29" t="s">
        <v>542</v>
      </c>
    </row>
    <row r="146" spans="1:5" s="173" customFormat="1" ht="15.75" thickBot="1" x14ac:dyDescent="0.3">
      <c r="B146" s="179">
        <f t="shared" ca="1" si="16"/>
        <v>18</v>
      </c>
    </row>
    <row r="147" spans="1:5" s="173" customFormat="1" ht="15.75" thickBot="1" x14ac:dyDescent="0.3">
      <c r="B147" s="180">
        <f t="shared" ca="1" si="16"/>
        <v>22</v>
      </c>
      <c r="D147" s="33"/>
      <c r="E147" s="173" t="s">
        <v>544</v>
      </c>
    </row>
    <row r="148" spans="1:5" s="173" customFormat="1" x14ac:dyDescent="0.25"/>
    <row r="149" spans="1:5" s="173" customFormat="1" ht="15.75" thickBot="1" x14ac:dyDescent="0.3"/>
    <row r="150" spans="1:5" s="191" customFormat="1" ht="24" thickBot="1" x14ac:dyDescent="0.4">
      <c r="A150" s="190" t="s">
        <v>407</v>
      </c>
      <c r="B150" s="191" t="s">
        <v>341</v>
      </c>
    </row>
    <row r="152" spans="1:5" x14ac:dyDescent="0.25">
      <c r="B152" t="s">
        <v>412</v>
      </c>
    </row>
    <row r="154" spans="1:5" x14ac:dyDescent="0.25">
      <c r="B154" s="29" t="s">
        <v>408</v>
      </c>
      <c r="D154" t="s">
        <v>410</v>
      </c>
    </row>
    <row r="156" spans="1:5" x14ac:dyDescent="0.25">
      <c r="B156" s="29" t="s">
        <v>409</v>
      </c>
      <c r="D156" t="s">
        <v>411</v>
      </c>
    </row>
    <row r="158" spans="1:5" x14ac:dyDescent="0.25">
      <c r="B158" s="142" t="s">
        <v>514</v>
      </c>
    </row>
    <row r="159" spans="1:5" s="165" customFormat="1" x14ac:dyDescent="0.25">
      <c r="B159" s="142"/>
    </row>
    <row r="160" spans="1:5" ht="15.75" thickBot="1" x14ac:dyDescent="0.3"/>
    <row r="161" spans="1:15" s="191" customFormat="1" ht="24" thickBot="1" x14ac:dyDescent="0.4">
      <c r="A161" s="190" t="s">
        <v>413</v>
      </c>
      <c r="B161" s="191" t="s">
        <v>341</v>
      </c>
    </row>
    <row r="163" spans="1:15" x14ac:dyDescent="0.25">
      <c r="B163" t="s">
        <v>414</v>
      </c>
    </row>
    <row r="165" spans="1:15" x14ac:dyDescent="0.25">
      <c r="B165" t="s">
        <v>415</v>
      </c>
      <c r="O165" s="1"/>
    </row>
    <row r="167" spans="1:15" s="121" customFormat="1" x14ac:dyDescent="0.25">
      <c r="B167" s="121" t="s">
        <v>422</v>
      </c>
    </row>
    <row r="168" spans="1:15" s="121" customFormat="1" x14ac:dyDescent="0.25"/>
    <row r="169" spans="1:15" x14ac:dyDescent="0.25">
      <c r="B169" s="143" t="s">
        <v>417</v>
      </c>
      <c r="C169" s="146" t="s">
        <v>421</v>
      </c>
      <c r="D169" s="196" t="s">
        <v>416</v>
      </c>
      <c r="E169" s="196"/>
    </row>
    <row r="170" spans="1:15" x14ac:dyDescent="0.25">
      <c r="C170" s="105"/>
      <c r="D170" s="196"/>
      <c r="E170" s="196"/>
    </row>
    <row r="171" spans="1:15" x14ac:dyDescent="0.25">
      <c r="B171" s="29" t="s">
        <v>418</v>
      </c>
      <c r="C171" s="146" t="s">
        <v>421</v>
      </c>
      <c r="D171" s="196" t="s">
        <v>416</v>
      </c>
      <c r="E171" s="196"/>
    </row>
    <row r="172" spans="1:15" x14ac:dyDescent="0.25">
      <c r="C172" s="105"/>
      <c r="D172" s="196"/>
      <c r="E172" s="196"/>
    </row>
    <row r="173" spans="1:15" x14ac:dyDescent="0.25">
      <c r="B173" s="145" t="s">
        <v>419</v>
      </c>
      <c r="C173" s="146" t="s">
        <v>421</v>
      </c>
      <c r="D173" s="196" t="s">
        <v>416</v>
      </c>
      <c r="E173" s="196"/>
    </row>
    <row r="174" spans="1:15" ht="15.75" thickBot="1" x14ac:dyDescent="0.3">
      <c r="C174" s="105"/>
      <c r="D174" s="196"/>
      <c r="E174" s="196"/>
    </row>
    <row r="175" spans="1:15" ht="19.5" thickBot="1" x14ac:dyDescent="0.35">
      <c r="B175" s="144" t="s">
        <v>420</v>
      </c>
      <c r="C175" s="146" t="s">
        <v>421</v>
      </c>
      <c r="D175" s="196" t="s">
        <v>416</v>
      </c>
      <c r="E175" s="196"/>
    </row>
    <row r="178" spans="1:2" x14ac:dyDescent="0.25">
      <c r="B178" t="s">
        <v>423</v>
      </c>
    </row>
    <row r="180" spans="1:2" ht="15.75" thickBot="1" x14ac:dyDescent="0.3"/>
    <row r="181" spans="1:2" s="191" customFormat="1" ht="24" thickBot="1" x14ac:dyDescent="0.4">
      <c r="A181" s="190" t="s">
        <v>428</v>
      </c>
      <c r="B181" s="191" t="s">
        <v>341</v>
      </c>
    </row>
    <row r="183" spans="1:2" x14ac:dyDescent="0.25">
      <c r="B183" t="s">
        <v>429</v>
      </c>
    </row>
    <row r="184" spans="1:2" s="127" customFormat="1" x14ac:dyDescent="0.25"/>
    <row r="185" spans="1:2" s="127" customFormat="1" x14ac:dyDescent="0.25">
      <c r="B185" t="s">
        <v>430</v>
      </c>
    </row>
    <row r="186" spans="1:2" s="127" customFormat="1" x14ac:dyDescent="0.25">
      <c r="B186" t="s">
        <v>431</v>
      </c>
    </row>
    <row r="187" spans="1:2" s="127" customFormat="1" x14ac:dyDescent="0.25">
      <c r="B187" t="s">
        <v>432</v>
      </c>
    </row>
    <row r="188" spans="1:2" s="127" customFormat="1" x14ac:dyDescent="0.25"/>
    <row r="189" spans="1:2" s="127" customFormat="1" x14ac:dyDescent="0.25">
      <c r="B189" t="s">
        <v>433</v>
      </c>
    </row>
    <row r="190" spans="1:2" s="127" customFormat="1" x14ac:dyDescent="0.25"/>
    <row r="193" spans="2:3" ht="15.75" thickBot="1" x14ac:dyDescent="0.3">
      <c r="B193" s="153" t="s">
        <v>434</v>
      </c>
    </row>
    <row r="194" spans="2:3" ht="15.75" thickBot="1" x14ac:dyDescent="0.3">
      <c r="B194" s="150">
        <v>4.4999999999999998E-2</v>
      </c>
      <c r="C194" s="1"/>
    </row>
    <row r="195" spans="2:3" x14ac:dyDescent="0.25">
      <c r="B195" s="105"/>
    </row>
    <row r="196" spans="2:3" ht="15.75" thickBot="1" x14ac:dyDescent="0.3">
      <c r="B196" s="153" t="s">
        <v>435</v>
      </c>
    </row>
    <row r="197" spans="2:3" ht="15.75" thickBot="1" x14ac:dyDescent="0.3">
      <c r="B197" s="151">
        <v>4.4999999999999998E-2</v>
      </c>
      <c r="C197" s="1"/>
    </row>
    <row r="198" spans="2:3" x14ac:dyDescent="0.25">
      <c r="B198" s="105"/>
    </row>
    <row r="199" spans="2:3" ht="15.75" thickBot="1" x14ac:dyDescent="0.3">
      <c r="B199" s="153" t="s">
        <v>436</v>
      </c>
    </row>
    <row r="200" spans="2:3" ht="15.75" thickBot="1" x14ac:dyDescent="0.3">
      <c r="B200" s="152">
        <v>0.08</v>
      </c>
      <c r="C200" s="1"/>
    </row>
    <row r="203" spans="2:3" ht="15.75" thickBot="1" x14ac:dyDescent="0.3">
      <c r="B203" s="153" t="s">
        <v>230</v>
      </c>
    </row>
    <row r="204" spans="2:3" x14ac:dyDescent="0.25">
      <c r="B204" s="154">
        <v>4.4999999999999998E-2</v>
      </c>
    </row>
    <row r="205" spans="2:3" x14ac:dyDescent="0.25">
      <c r="B205" s="155">
        <v>0.02</v>
      </c>
    </row>
    <row r="206" spans="2:3" x14ac:dyDescent="0.25">
      <c r="B206" s="155">
        <v>3.5999999999999997E-2</v>
      </c>
    </row>
    <row r="207" spans="2:3" x14ac:dyDescent="0.25">
      <c r="B207" s="155">
        <v>5.1999999999999998E-2</v>
      </c>
    </row>
    <row r="208" spans="2:3" x14ac:dyDescent="0.25">
      <c r="B208" s="155">
        <v>0.09</v>
      </c>
    </row>
    <row r="209" spans="1:2" x14ac:dyDescent="0.25">
      <c r="B209" s="155">
        <v>0.06</v>
      </c>
    </row>
    <row r="210" spans="1:2" ht="15.75" thickBot="1" x14ac:dyDescent="0.3">
      <c r="B210" s="156">
        <v>1.2E-2</v>
      </c>
    </row>
    <row r="212" spans="1:2" x14ac:dyDescent="0.25">
      <c r="B212" t="s">
        <v>437</v>
      </c>
    </row>
    <row r="213" spans="1:2" x14ac:dyDescent="0.25">
      <c r="B213" t="s">
        <v>438</v>
      </c>
    </row>
    <row r="216" spans="1:2" ht="15.75" thickBot="1" x14ac:dyDescent="0.3"/>
    <row r="217" spans="1:2" s="191" customFormat="1" ht="24" thickBot="1" x14ac:dyDescent="0.4">
      <c r="A217" s="190" t="s">
        <v>342</v>
      </c>
      <c r="B217" s="191" t="s">
        <v>341</v>
      </c>
    </row>
    <row r="218" spans="1:2" ht="18.75" x14ac:dyDescent="0.3">
      <c r="B218" s="126"/>
    </row>
    <row r="219" spans="1:2" s="120" customFormat="1" x14ac:dyDescent="0.25">
      <c r="B219" s="125" t="s">
        <v>343</v>
      </c>
    </row>
    <row r="220" spans="1:2" s="120" customFormat="1" x14ac:dyDescent="0.25">
      <c r="B220" s="125"/>
    </row>
    <row r="221" spans="1:2" s="120" customFormat="1" x14ac:dyDescent="0.25">
      <c r="B221" s="125" t="s">
        <v>344</v>
      </c>
    </row>
    <row r="222" spans="1:2" s="120" customFormat="1" x14ac:dyDescent="0.25"/>
  </sheetData>
  <mergeCells count="34">
    <mergeCell ref="A217:XFD217"/>
    <mergeCell ref="A7:XFD7"/>
    <mergeCell ref="A31:XFD31"/>
    <mergeCell ref="A81:XFD81"/>
    <mergeCell ref="A107:XFD107"/>
    <mergeCell ref="C114:F114"/>
    <mergeCell ref="A118:XFD118"/>
    <mergeCell ref="D120:J120"/>
    <mergeCell ref="D121:J121"/>
    <mergeCell ref="D122:J122"/>
    <mergeCell ref="D123:J123"/>
    <mergeCell ref="D124:J124"/>
    <mergeCell ref="A150:XFD150"/>
    <mergeCell ref="A138:XFD138"/>
    <mergeCell ref="D173:E173"/>
    <mergeCell ref="C133:D133"/>
    <mergeCell ref="D175:E175"/>
    <mergeCell ref="A181:XFD181"/>
    <mergeCell ref="A60:XFD60"/>
    <mergeCell ref="D170:E170"/>
    <mergeCell ref="D171:E171"/>
    <mergeCell ref="D172:E172"/>
    <mergeCell ref="D174:E174"/>
    <mergeCell ref="C132:D132"/>
    <mergeCell ref="C135:D135"/>
    <mergeCell ref="A1:XFD1"/>
    <mergeCell ref="A2:XFD2"/>
    <mergeCell ref="A52:XFD52"/>
    <mergeCell ref="A161:XFD161"/>
    <mergeCell ref="D169:E169"/>
    <mergeCell ref="A127:XFD127"/>
    <mergeCell ref="C129:D129"/>
    <mergeCell ref="C130:D130"/>
    <mergeCell ref="C131:D131"/>
  </mergeCells>
  <conditionalFormatting sqref="B204:B210">
    <cfRule type="cellIs" dxfId="4" priority="1" operator="greaterThan">
      <formula>$B$200</formula>
    </cfRule>
    <cfRule type="cellIs" dxfId="3" priority="2" operator="lessThan">
      <formula>$B$194</formula>
    </cfRule>
    <cfRule type="cellIs" dxfId="2" priority="3" operator="greaterThanOrEqual">
      <formula>$B$197</formula>
    </cfRule>
  </conditionalFormatting>
  <hyperlinks>
    <hyperlink ref="A1" location="Home!A1" display="Click here to go to home page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97"/>
  <sheetViews>
    <sheetView showGridLines="0" zoomScale="85" zoomScaleNormal="85" workbookViewId="0">
      <pane ySplit="2" topLeftCell="A3" activePane="bottomLeft" state="frozen"/>
      <selection pane="bottomLeft" activeCell="W48" sqref="W48"/>
    </sheetView>
  </sheetViews>
  <sheetFormatPr defaultRowHeight="15" x14ac:dyDescent="0.25"/>
  <cols>
    <col min="5" max="5" width="14.28515625" customWidth="1"/>
  </cols>
  <sheetData>
    <row r="1" spans="1:15" s="195" customFormat="1" ht="19.5" thickBot="1" x14ac:dyDescent="0.35">
      <c r="A1" s="194" t="s">
        <v>146</v>
      </c>
    </row>
    <row r="2" spans="1:15" s="191" customFormat="1" ht="24" thickBot="1" x14ac:dyDescent="0.4">
      <c r="A2" s="190" t="s">
        <v>464</v>
      </c>
    </row>
    <row r="4" spans="1:15" x14ac:dyDescent="0.25">
      <c r="B4" t="s">
        <v>461</v>
      </c>
    </row>
    <row r="6" spans="1:15" x14ac:dyDescent="0.25">
      <c r="B6" t="s">
        <v>462</v>
      </c>
    </row>
    <row r="8" spans="1:15" x14ac:dyDescent="0.25">
      <c r="B8" s="29" t="s">
        <v>537</v>
      </c>
    </row>
    <row r="10" spans="1:15" s="158" customFormat="1" x14ac:dyDescent="0.25">
      <c r="B10" s="158" t="s">
        <v>516</v>
      </c>
    </row>
    <row r="11" spans="1:15" s="167" customFormat="1" x14ac:dyDescent="0.25"/>
    <row r="12" spans="1:15" ht="15.75" thickBot="1" x14ac:dyDescent="0.3"/>
    <row r="13" spans="1:15" s="191" customFormat="1" ht="24" thickBot="1" x14ac:dyDescent="0.4">
      <c r="A13" s="190" t="s">
        <v>463</v>
      </c>
    </row>
    <row r="16" spans="1:15" x14ac:dyDescent="0.25">
      <c r="B16" s="29" t="s">
        <v>515</v>
      </c>
      <c r="G16" s="29" t="s">
        <v>481</v>
      </c>
      <c r="O16" s="29" t="s">
        <v>482</v>
      </c>
    </row>
    <row r="18" spans="2:5" x14ac:dyDescent="0.25">
      <c r="B18" s="29" t="s">
        <v>465</v>
      </c>
      <c r="C18" s="34" t="s">
        <v>473</v>
      </c>
      <c r="D18" s="34" t="s">
        <v>472</v>
      </c>
      <c r="E18" s="34" t="s">
        <v>474</v>
      </c>
    </row>
    <row r="19" spans="2:5" x14ac:dyDescent="0.25">
      <c r="B19" t="s">
        <v>467</v>
      </c>
      <c r="C19">
        <v>18</v>
      </c>
      <c r="D19">
        <v>2</v>
      </c>
      <c r="E19">
        <f>C19-D19</f>
        <v>16</v>
      </c>
    </row>
    <row r="20" spans="2:5" x14ac:dyDescent="0.25">
      <c r="B20" t="s">
        <v>468</v>
      </c>
      <c r="C20">
        <v>14</v>
      </c>
      <c r="D20">
        <v>2</v>
      </c>
      <c r="E20" s="158">
        <f t="shared" ref="E20:E23" si="0">C20-D20</f>
        <v>12</v>
      </c>
    </row>
    <row r="21" spans="2:5" x14ac:dyDescent="0.25">
      <c r="B21" t="s">
        <v>469</v>
      </c>
      <c r="C21">
        <v>10</v>
      </c>
      <c r="D21">
        <v>2</v>
      </c>
      <c r="E21" s="158">
        <f t="shared" si="0"/>
        <v>8</v>
      </c>
    </row>
    <row r="22" spans="2:5" x14ac:dyDescent="0.25">
      <c r="B22" t="s">
        <v>470</v>
      </c>
      <c r="C22">
        <v>4</v>
      </c>
      <c r="D22">
        <v>0</v>
      </c>
      <c r="E22" s="158">
        <f t="shared" si="0"/>
        <v>4</v>
      </c>
    </row>
    <row r="23" spans="2:5" x14ac:dyDescent="0.25">
      <c r="B23" t="s">
        <v>471</v>
      </c>
      <c r="C23">
        <v>2</v>
      </c>
      <c r="D23">
        <v>2</v>
      </c>
      <c r="E23" s="158">
        <f t="shared" si="0"/>
        <v>0</v>
      </c>
    </row>
    <row r="40" spans="1:23" ht="15.75" thickBot="1" x14ac:dyDescent="0.3"/>
    <row r="41" spans="1:23" s="191" customFormat="1" ht="24" thickBot="1" x14ac:dyDescent="0.4">
      <c r="A41" s="190" t="s">
        <v>475</v>
      </c>
    </row>
    <row r="43" spans="1:23" x14ac:dyDescent="0.25">
      <c r="B43" s="29" t="s">
        <v>515</v>
      </c>
    </row>
    <row r="44" spans="1:23" x14ac:dyDescent="0.25">
      <c r="I44" t="s">
        <v>480</v>
      </c>
    </row>
    <row r="45" spans="1:23" x14ac:dyDescent="0.25">
      <c r="B45" s="29" t="s">
        <v>465</v>
      </c>
      <c r="C45" s="34" t="s">
        <v>466</v>
      </c>
      <c r="D45" s="34" t="s">
        <v>476</v>
      </c>
      <c r="E45" s="34" t="s">
        <v>477</v>
      </c>
      <c r="F45" s="170"/>
      <c r="G45" s="170"/>
      <c r="H45" s="170"/>
      <c r="I45" s="174" t="s">
        <v>478</v>
      </c>
      <c r="J45" s="174" t="s">
        <v>479</v>
      </c>
      <c r="W45" t="s">
        <v>546</v>
      </c>
    </row>
    <row r="46" spans="1:23" x14ac:dyDescent="0.25">
      <c r="B46" s="158" t="s">
        <v>467</v>
      </c>
      <c r="C46" s="158">
        <v>18</v>
      </c>
      <c r="D46" s="158">
        <v>458</v>
      </c>
      <c r="E46" s="161">
        <f>D46/4</f>
        <v>114.5</v>
      </c>
      <c r="I46">
        <v>0</v>
      </c>
      <c r="J46">
        <v>0</v>
      </c>
      <c r="W46" t="s">
        <v>547</v>
      </c>
    </row>
    <row r="47" spans="1:23" x14ac:dyDescent="0.25">
      <c r="B47" s="158" t="s">
        <v>468</v>
      </c>
      <c r="C47" s="158">
        <v>14</v>
      </c>
      <c r="D47" s="158">
        <v>496</v>
      </c>
      <c r="E47" s="161">
        <f t="shared" ref="E47:E50" si="1">D47/4</f>
        <v>124</v>
      </c>
      <c r="I47">
        <f>I46</f>
        <v>0</v>
      </c>
      <c r="J47" s="158">
        <f>J46</f>
        <v>0</v>
      </c>
      <c r="W47" s="187" t="s">
        <v>548</v>
      </c>
    </row>
    <row r="48" spans="1:23" x14ac:dyDescent="0.25">
      <c r="B48" s="158" t="s">
        <v>469</v>
      </c>
      <c r="C48" s="158">
        <v>10</v>
      </c>
      <c r="D48" s="158">
        <v>569</v>
      </c>
      <c r="E48" s="161">
        <f t="shared" si="1"/>
        <v>142.25</v>
      </c>
      <c r="I48" s="158">
        <f t="shared" ref="I48:I50" si="2">I47</f>
        <v>0</v>
      </c>
      <c r="J48" s="158">
        <f t="shared" ref="J48:J50" si="3">J47</f>
        <v>0</v>
      </c>
    </row>
    <row r="49" spans="2:12" x14ac:dyDescent="0.25">
      <c r="B49" s="158" t="s">
        <v>470</v>
      </c>
      <c r="C49" s="158">
        <v>4</v>
      </c>
      <c r="D49" s="158">
        <v>445</v>
      </c>
      <c r="E49" s="161">
        <f t="shared" si="1"/>
        <v>111.25</v>
      </c>
      <c r="I49" s="158">
        <f t="shared" si="2"/>
        <v>0</v>
      </c>
      <c r="J49" s="158">
        <f t="shared" si="3"/>
        <v>0</v>
      </c>
    </row>
    <row r="50" spans="2:12" x14ac:dyDescent="0.25">
      <c r="B50" s="158" t="s">
        <v>471</v>
      </c>
      <c r="C50" s="158">
        <v>2</v>
      </c>
      <c r="D50" s="158">
        <v>482</v>
      </c>
      <c r="E50" s="161">
        <f t="shared" si="1"/>
        <v>120.5</v>
      </c>
      <c r="I50" s="158">
        <f t="shared" si="2"/>
        <v>0</v>
      </c>
      <c r="J50" s="158">
        <f t="shared" si="3"/>
        <v>0</v>
      </c>
    </row>
    <row r="52" spans="2:12" s="158" customFormat="1" x14ac:dyDescent="0.25">
      <c r="B52" s="29" t="s">
        <v>483</v>
      </c>
      <c r="L52" s="29" t="s">
        <v>484</v>
      </c>
    </row>
    <row r="82" spans="1:5" ht="15.75" thickBot="1" x14ac:dyDescent="0.3"/>
    <row r="83" spans="1:5" s="191" customFormat="1" ht="24" thickBot="1" x14ac:dyDescent="0.4">
      <c r="A83" s="190" t="s">
        <v>517</v>
      </c>
    </row>
    <row r="85" spans="1:5" x14ac:dyDescent="0.25">
      <c r="B85" t="s">
        <v>518</v>
      </c>
    </row>
    <row r="87" spans="1:5" x14ac:dyDescent="0.25">
      <c r="B87" s="29" t="s">
        <v>519</v>
      </c>
    </row>
    <row r="89" spans="1:5" x14ac:dyDescent="0.25">
      <c r="C89" s="34" t="s">
        <v>521</v>
      </c>
      <c r="D89" s="29" t="s">
        <v>520</v>
      </c>
      <c r="E89" s="35"/>
    </row>
    <row r="90" spans="1:5" x14ac:dyDescent="0.25">
      <c r="C90" t="s">
        <v>522</v>
      </c>
      <c r="D90">
        <v>3</v>
      </c>
      <c r="E90" s="176">
        <f>D90/$D$94</f>
        <v>0.11538461538461539</v>
      </c>
    </row>
    <row r="91" spans="1:5" x14ac:dyDescent="0.25">
      <c r="C91" t="s">
        <v>523</v>
      </c>
      <c r="D91">
        <v>8</v>
      </c>
      <c r="E91" s="176">
        <f t="shared" ref="E91:E93" si="4">D91/$D$94</f>
        <v>0.30769230769230771</v>
      </c>
    </row>
    <row r="92" spans="1:5" x14ac:dyDescent="0.25">
      <c r="C92" t="s">
        <v>524</v>
      </c>
      <c r="D92">
        <v>10</v>
      </c>
      <c r="E92" s="176">
        <f t="shared" si="4"/>
        <v>0.38461538461538464</v>
      </c>
    </row>
    <row r="93" spans="1:5" x14ac:dyDescent="0.25">
      <c r="C93" s="175" t="s">
        <v>525</v>
      </c>
      <c r="D93" s="175">
        <v>5</v>
      </c>
      <c r="E93" s="176">
        <f t="shared" si="4"/>
        <v>0.19230769230769232</v>
      </c>
    </row>
    <row r="94" spans="1:5" x14ac:dyDescent="0.25">
      <c r="C94" s="170" t="s">
        <v>526</v>
      </c>
      <c r="D94">
        <f>SUM(D90:D93)</f>
        <v>26</v>
      </c>
    </row>
    <row r="97" spans="2:8" x14ac:dyDescent="0.25">
      <c r="B97" s="29" t="s">
        <v>539</v>
      </c>
      <c r="H97" s="29" t="s">
        <v>538</v>
      </c>
    </row>
  </sheetData>
  <mergeCells count="5">
    <mergeCell ref="A1:XFD1"/>
    <mergeCell ref="A2:XFD2"/>
    <mergeCell ref="A13:XFD13"/>
    <mergeCell ref="A41:XFD41"/>
    <mergeCell ref="A83:XFD83"/>
  </mergeCells>
  <hyperlinks>
    <hyperlink ref="A1" location="Home!A1" display="Click here to go to home page"/>
    <hyperlink ref="W47" r:id="rId1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52"/>
  <sheetViews>
    <sheetView showGridLines="0" workbookViewId="0">
      <pane ySplit="2" topLeftCell="A3" activePane="bottomLeft" state="frozen"/>
      <selection pane="bottomLeft" sqref="A1:XFD1"/>
    </sheetView>
  </sheetViews>
  <sheetFormatPr defaultRowHeight="15" x14ac:dyDescent="0.25"/>
  <cols>
    <col min="2" max="2" width="6.85546875" customWidth="1"/>
    <col min="3" max="3" width="14.28515625" customWidth="1"/>
    <col min="4" max="4" width="9.140625" customWidth="1"/>
    <col min="5" max="5" width="9.28515625" customWidth="1"/>
    <col min="6" max="7" width="10.5703125" customWidth="1"/>
  </cols>
  <sheetData>
    <row r="1" spans="1:8" s="195" customFormat="1" ht="19.5" thickBot="1" x14ac:dyDescent="0.35">
      <c r="A1" s="194" t="s">
        <v>146</v>
      </c>
    </row>
    <row r="2" spans="1:8" s="191" customFormat="1" ht="24" thickBot="1" x14ac:dyDescent="0.4">
      <c r="A2" s="190" t="s">
        <v>22</v>
      </c>
    </row>
    <row r="4" spans="1:8" x14ac:dyDescent="0.25">
      <c r="B4" s="20" t="s">
        <v>24</v>
      </c>
    </row>
    <row r="6" spans="1:8" x14ac:dyDescent="0.25">
      <c r="B6" s="196" t="s">
        <v>19</v>
      </c>
      <c r="C6" s="196"/>
      <c r="D6" s="196"/>
      <c r="E6" s="196"/>
      <c r="F6" s="196"/>
      <c r="G6" s="196"/>
    </row>
    <row r="7" spans="1:8" x14ac:dyDescent="0.25">
      <c r="B7" s="196" t="s">
        <v>20</v>
      </c>
      <c r="C7" s="196"/>
      <c r="D7" s="196"/>
      <c r="E7" s="196"/>
      <c r="F7" s="196"/>
      <c r="G7" s="196"/>
    </row>
    <row r="8" spans="1:8" x14ac:dyDescent="0.25">
      <c r="B8" s="196" t="s">
        <v>21</v>
      </c>
      <c r="C8" s="196"/>
      <c r="D8" s="196"/>
      <c r="E8" s="196"/>
      <c r="F8" s="196"/>
      <c r="G8" s="196"/>
    </row>
    <row r="9" spans="1:8" ht="15.75" thickBot="1" x14ac:dyDescent="0.3"/>
    <row r="10" spans="1:8" s="3" customFormat="1" x14ac:dyDescent="0.25">
      <c r="B10" s="208" t="s">
        <v>0</v>
      </c>
      <c r="C10" s="209"/>
      <c r="D10" s="10"/>
      <c r="E10" s="212" t="s">
        <v>10</v>
      </c>
      <c r="F10" s="213"/>
      <c r="G10" s="214"/>
    </row>
    <row r="11" spans="1:8" s="2" customFormat="1" x14ac:dyDescent="0.25">
      <c r="B11" s="210"/>
      <c r="C11" s="211"/>
      <c r="D11" s="11"/>
      <c r="E11" s="12" t="s">
        <v>18</v>
      </c>
      <c r="F11" s="13" t="s">
        <v>17</v>
      </c>
      <c r="G11" s="14" t="s">
        <v>16</v>
      </c>
    </row>
    <row r="12" spans="1:8" x14ac:dyDescent="0.25">
      <c r="B12" s="131" t="s">
        <v>1</v>
      </c>
      <c r="C12" s="6" t="s">
        <v>2</v>
      </c>
      <c r="D12" s="4"/>
      <c r="E12" s="15">
        <v>6</v>
      </c>
      <c r="F12" s="16">
        <v>6</v>
      </c>
      <c r="G12" s="6" t="b">
        <f>IF(E12=F12,TRUE,FALSE)</f>
        <v>1</v>
      </c>
      <c r="H12" s="36" t="s">
        <v>43</v>
      </c>
    </row>
    <row r="13" spans="1:8" x14ac:dyDescent="0.25">
      <c r="B13" s="131" t="s">
        <v>4</v>
      </c>
      <c r="C13" s="6" t="s">
        <v>5</v>
      </c>
      <c r="D13" s="4"/>
      <c r="E13" s="15">
        <v>11</v>
      </c>
      <c r="F13" s="16">
        <v>15</v>
      </c>
      <c r="G13" s="6" t="b">
        <f>IF(E13&gt;F13,TRUE,FALSE)</f>
        <v>0</v>
      </c>
    </row>
    <row r="14" spans="1:8" x14ac:dyDescent="0.25">
      <c r="B14" s="131" t="s">
        <v>6</v>
      </c>
      <c r="C14" s="6" t="s">
        <v>7</v>
      </c>
      <c r="D14" s="4"/>
      <c r="E14" s="15">
        <v>6</v>
      </c>
      <c r="F14" s="16">
        <v>10</v>
      </c>
      <c r="G14" s="6" t="b">
        <f>IF(E14&lt;F14,TRUE,FALSE)</f>
        <v>1</v>
      </c>
    </row>
    <row r="15" spans="1:8" x14ac:dyDescent="0.25">
      <c r="B15" s="131" t="s">
        <v>8</v>
      </c>
      <c r="C15" s="6" t="s">
        <v>9</v>
      </c>
      <c r="D15" s="4"/>
      <c r="E15" s="15">
        <v>4</v>
      </c>
      <c r="F15" s="16">
        <v>4</v>
      </c>
      <c r="G15" s="6" t="b">
        <f>IF(E15&lt;&gt;F15,TRUE,FALSE)</f>
        <v>0</v>
      </c>
    </row>
    <row r="16" spans="1:8" x14ac:dyDescent="0.25">
      <c r="B16" s="215"/>
      <c r="C16" s="217"/>
      <c r="D16" s="4"/>
      <c r="E16" s="215"/>
      <c r="F16" s="216"/>
      <c r="G16" s="217"/>
    </row>
    <row r="17" spans="1:9" x14ac:dyDescent="0.25">
      <c r="B17" s="159" t="s">
        <v>11</v>
      </c>
      <c r="C17" s="6" t="s">
        <v>12</v>
      </c>
      <c r="D17" s="4"/>
      <c r="E17" s="15"/>
      <c r="F17" s="9"/>
      <c r="G17" s="6" t="b">
        <f>IF(E17="",TRUE,FALSE)</f>
        <v>1</v>
      </c>
    </row>
    <row r="18" spans="1:9" ht="15.75" thickBot="1" x14ac:dyDescent="0.3">
      <c r="B18" s="160" t="s">
        <v>13</v>
      </c>
      <c r="C18" s="7" t="s">
        <v>14</v>
      </c>
      <c r="D18" s="4"/>
      <c r="E18" s="17" t="s">
        <v>15</v>
      </c>
      <c r="F18" s="18"/>
      <c r="G18" s="7" t="b">
        <f>IF(E18&gt;"",TRUE,FALSE)</f>
        <v>1</v>
      </c>
    </row>
    <row r="21" spans="1:9" x14ac:dyDescent="0.25">
      <c r="B21" t="s">
        <v>23</v>
      </c>
    </row>
    <row r="23" spans="1:9" x14ac:dyDescent="0.25">
      <c r="B23" t="s">
        <v>330</v>
      </c>
    </row>
    <row r="24" spans="1:9" ht="15.75" thickBot="1" x14ac:dyDescent="0.3"/>
    <row r="25" spans="1:9" x14ac:dyDescent="0.25">
      <c r="B25" s="202" t="s">
        <v>27</v>
      </c>
      <c r="C25" s="203"/>
      <c r="D25" s="21" t="s">
        <v>25</v>
      </c>
      <c r="F25" s="26" t="s">
        <v>18</v>
      </c>
      <c r="G25" s="27" t="s">
        <v>17</v>
      </c>
      <c r="H25" s="28" t="s">
        <v>16</v>
      </c>
    </row>
    <row r="26" spans="1:9" ht="15.75" thickBot="1" x14ac:dyDescent="0.3">
      <c r="B26" s="204" t="s">
        <v>28</v>
      </c>
      <c r="C26" s="205"/>
      <c r="D26" s="22" t="s">
        <v>26</v>
      </c>
      <c r="F26" s="24">
        <v>5</v>
      </c>
      <c r="G26" s="25">
        <v>5</v>
      </c>
      <c r="H26" s="23" t="str">
        <f>IF(F26=G26,D25,D26)</f>
        <v>correct</v>
      </c>
      <c r="I26" t="s">
        <v>29</v>
      </c>
    </row>
    <row r="28" spans="1:9" ht="15.75" thickBot="1" x14ac:dyDescent="0.3"/>
    <row r="29" spans="1:9" s="191" customFormat="1" ht="24" thickBot="1" x14ac:dyDescent="0.4">
      <c r="A29" s="190" t="s">
        <v>30</v>
      </c>
    </row>
    <row r="31" spans="1:9" x14ac:dyDescent="0.25">
      <c r="B31" t="s">
        <v>31</v>
      </c>
    </row>
    <row r="32" spans="1:9" x14ac:dyDescent="0.25">
      <c r="B32" t="s">
        <v>42</v>
      </c>
    </row>
    <row r="43" spans="2:13" ht="15.75" thickBot="1" x14ac:dyDescent="0.3">
      <c r="B43" t="s">
        <v>40</v>
      </c>
      <c r="M43" s="35" t="s">
        <v>3</v>
      </c>
    </row>
    <row r="44" spans="2:13" x14ac:dyDescent="0.25">
      <c r="B44" t="s">
        <v>38</v>
      </c>
      <c r="L44" s="30" t="s">
        <v>32</v>
      </c>
      <c r="M44" s="21">
        <v>5</v>
      </c>
    </row>
    <row r="45" spans="2:13" x14ac:dyDescent="0.25">
      <c r="B45" t="s">
        <v>39</v>
      </c>
      <c r="L45" s="8" t="s">
        <v>33</v>
      </c>
      <c r="M45" s="32">
        <v>10</v>
      </c>
    </row>
    <row r="46" spans="2:13" ht="15.75" thickBot="1" x14ac:dyDescent="0.3">
      <c r="L46" s="31" t="s">
        <v>34</v>
      </c>
      <c r="M46" s="22">
        <v>15</v>
      </c>
    </row>
    <row r="47" spans="2:13" x14ac:dyDescent="0.25">
      <c r="B47" s="29" t="s">
        <v>41</v>
      </c>
    </row>
    <row r="48" spans="2:13" ht="15.75" thickBot="1" x14ac:dyDescent="0.3">
      <c r="M48" s="34" t="s">
        <v>35</v>
      </c>
    </row>
    <row r="49" spans="12:14" ht="15.75" thickBot="1" x14ac:dyDescent="0.3">
      <c r="M49" s="33">
        <v>5</v>
      </c>
    </row>
    <row r="51" spans="12:14" ht="15.75" thickBot="1" x14ac:dyDescent="0.3">
      <c r="L51" s="29" t="s">
        <v>36</v>
      </c>
    </row>
    <row r="52" spans="12:14" ht="15.75" thickBot="1" x14ac:dyDescent="0.3">
      <c r="L52" s="206" t="str">
        <f>IF(M49=M44,"Value " &amp; L44,IF(M49=M45,"Value " &amp; L45,IF(M49=M46,"Value " &amp; L46,"Value not found")))</f>
        <v>Value A</v>
      </c>
      <c r="M52" s="207"/>
      <c r="N52" s="1" t="s">
        <v>37</v>
      </c>
    </row>
  </sheetData>
  <mergeCells count="13">
    <mergeCell ref="L52:M52"/>
    <mergeCell ref="B10:C11"/>
    <mergeCell ref="E10:G10"/>
    <mergeCell ref="E16:G16"/>
    <mergeCell ref="B16:C16"/>
    <mergeCell ref="A1:XFD1"/>
    <mergeCell ref="A2:XFD2"/>
    <mergeCell ref="B25:C25"/>
    <mergeCell ref="B26:C26"/>
    <mergeCell ref="A29:XFD29"/>
    <mergeCell ref="B6:G6"/>
    <mergeCell ref="B7:G7"/>
    <mergeCell ref="B8:G8"/>
  </mergeCells>
  <conditionalFormatting sqref="G12:G15 G17:G18">
    <cfRule type="cellIs" dxfId="1" priority="1" operator="equal">
      <formula>FALSE</formula>
    </cfRule>
    <cfRule type="cellIs" dxfId="0" priority="2" operator="equal">
      <formula>TRUE</formula>
    </cfRule>
  </conditionalFormatting>
  <hyperlinks>
    <hyperlink ref="A1" location="Home!A1" display="Click here to go to home page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7"/>
  <sheetViews>
    <sheetView showGridLines="0" workbookViewId="0">
      <pane ySplit="2" topLeftCell="A3" activePane="bottomLeft" state="frozen"/>
      <selection pane="bottomLeft" sqref="A1:XFD1"/>
    </sheetView>
  </sheetViews>
  <sheetFormatPr defaultRowHeight="15" x14ac:dyDescent="0.25"/>
  <cols>
    <col min="2" max="2" width="20.7109375" customWidth="1"/>
    <col min="3" max="3" width="9.5703125" bestFit="1" customWidth="1"/>
    <col min="8" max="8" width="10.28515625" customWidth="1"/>
  </cols>
  <sheetData>
    <row r="1" spans="1:3" s="195" customFormat="1" ht="19.5" thickBot="1" x14ac:dyDescent="0.35">
      <c r="A1" s="194" t="s">
        <v>146</v>
      </c>
    </row>
    <row r="2" spans="1:3" s="191" customFormat="1" ht="24" thickBot="1" x14ac:dyDescent="0.4">
      <c r="A2" s="190" t="s">
        <v>197</v>
      </c>
    </row>
    <row r="4" spans="1:3" x14ac:dyDescent="0.25">
      <c r="B4" t="s">
        <v>59</v>
      </c>
    </row>
    <row r="6" spans="1:3" x14ac:dyDescent="0.25">
      <c r="B6" s="1" t="s">
        <v>71</v>
      </c>
      <c r="C6" t="s">
        <v>46</v>
      </c>
    </row>
    <row r="8" spans="1:3" x14ac:dyDescent="0.25">
      <c r="B8" s="1" t="s">
        <v>72</v>
      </c>
      <c r="C8" t="s">
        <v>45</v>
      </c>
    </row>
    <row r="10" spans="1:3" x14ac:dyDescent="0.25">
      <c r="B10" s="1" t="s">
        <v>73</v>
      </c>
      <c r="C10" t="s">
        <v>44</v>
      </c>
    </row>
    <row r="12" spans="1:3" x14ac:dyDescent="0.25">
      <c r="B12" s="1" t="s">
        <v>74</v>
      </c>
      <c r="C12" t="s">
        <v>47</v>
      </c>
    </row>
    <row r="14" spans="1:3" x14ac:dyDescent="0.25">
      <c r="B14" s="1" t="s">
        <v>75</v>
      </c>
      <c r="C14" t="s">
        <v>77</v>
      </c>
    </row>
    <row r="16" spans="1:3" x14ac:dyDescent="0.25">
      <c r="B16" s="1" t="s">
        <v>76</v>
      </c>
      <c r="C16" t="s">
        <v>78</v>
      </c>
    </row>
    <row r="20" spans="3:10" ht="15.75" thickBot="1" x14ac:dyDescent="0.3">
      <c r="C20" s="29" t="s">
        <v>48</v>
      </c>
      <c r="F20" s="29" t="s">
        <v>16</v>
      </c>
    </row>
    <row r="21" spans="3:10" x14ac:dyDescent="0.25">
      <c r="C21" s="39">
        <v>11</v>
      </c>
      <c r="F21" s="42">
        <f>MAX(C21:C35)</f>
        <v>87</v>
      </c>
      <c r="G21" t="s">
        <v>50</v>
      </c>
    </row>
    <row r="22" spans="3:10" x14ac:dyDescent="0.25">
      <c r="C22" s="40">
        <v>49</v>
      </c>
      <c r="F22" s="43">
        <f>MIN(C21:C35)</f>
        <v>1</v>
      </c>
      <c r="G22" t="s">
        <v>51</v>
      </c>
    </row>
    <row r="23" spans="3:10" x14ac:dyDescent="0.25">
      <c r="C23" s="40">
        <v>21</v>
      </c>
      <c r="F23" s="43">
        <f>AVERAGE(C21:C35)</f>
        <v>47.93333333333333</v>
      </c>
      <c r="G23" t="s">
        <v>52</v>
      </c>
    </row>
    <row r="24" spans="3:10" ht="15.75" thickBot="1" x14ac:dyDescent="0.3">
      <c r="C24" s="40">
        <v>76</v>
      </c>
      <c r="F24" s="43">
        <f>MEDIAN(C21:C35)</f>
        <v>44</v>
      </c>
      <c r="G24" t="s">
        <v>53</v>
      </c>
    </row>
    <row r="25" spans="3:10" x14ac:dyDescent="0.25">
      <c r="C25" s="40">
        <v>77</v>
      </c>
      <c r="F25" s="43">
        <f>LARGE(C21:C35,I25)</f>
        <v>86</v>
      </c>
      <c r="G25" t="s">
        <v>49</v>
      </c>
      <c r="H25" t="s">
        <v>55</v>
      </c>
      <c r="I25" s="37">
        <v>2</v>
      </c>
      <c r="J25" t="s">
        <v>57</v>
      </c>
    </row>
    <row r="26" spans="3:10" ht="15.75" thickBot="1" x14ac:dyDescent="0.3">
      <c r="C26" s="40">
        <v>44</v>
      </c>
      <c r="F26" s="44">
        <f>SMALL(C21:C35,I26)</f>
        <v>11</v>
      </c>
      <c r="G26" t="s">
        <v>54</v>
      </c>
      <c r="H26" t="s">
        <v>55</v>
      </c>
      <c r="I26" s="38">
        <v>2</v>
      </c>
      <c r="J26" t="s">
        <v>58</v>
      </c>
    </row>
    <row r="27" spans="3:10" x14ac:dyDescent="0.25">
      <c r="C27" s="40">
        <v>38</v>
      </c>
    </row>
    <row r="28" spans="3:10" x14ac:dyDescent="0.25">
      <c r="C28" s="40">
        <v>1</v>
      </c>
      <c r="F28" t="s">
        <v>56</v>
      </c>
    </row>
    <row r="29" spans="3:10" x14ac:dyDescent="0.25">
      <c r="C29" s="40">
        <v>71</v>
      </c>
    </row>
    <row r="30" spans="3:10" x14ac:dyDescent="0.25">
      <c r="C30" s="40">
        <v>26</v>
      </c>
    </row>
    <row r="31" spans="3:10" x14ac:dyDescent="0.25">
      <c r="C31" s="40">
        <v>87</v>
      </c>
    </row>
    <row r="32" spans="3:10" x14ac:dyDescent="0.25">
      <c r="C32" s="40">
        <v>86</v>
      </c>
    </row>
    <row r="33" spans="2:3" x14ac:dyDescent="0.25">
      <c r="C33" s="40">
        <v>29</v>
      </c>
    </row>
    <row r="34" spans="2:3" x14ac:dyDescent="0.25">
      <c r="C34" s="40">
        <v>64</v>
      </c>
    </row>
    <row r="35" spans="2:3" ht="15.75" thickBot="1" x14ac:dyDescent="0.3">
      <c r="C35" s="41">
        <v>39</v>
      </c>
    </row>
    <row r="37" spans="2:3" x14ac:dyDescent="0.25">
      <c r="B37" s="29"/>
    </row>
  </sheetData>
  <mergeCells count="2">
    <mergeCell ref="A2:XFD2"/>
    <mergeCell ref="A1:XFD1"/>
  </mergeCells>
  <hyperlinks>
    <hyperlink ref="A1" location="Home!A1" display="Click here to go to home page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59"/>
  <sheetViews>
    <sheetView showGridLines="0" workbookViewId="0">
      <pane ySplit="2" topLeftCell="A3" activePane="bottomLeft" state="frozen"/>
      <selection pane="bottomLeft" sqref="A1:XFD1"/>
    </sheetView>
  </sheetViews>
  <sheetFormatPr defaultRowHeight="15" x14ac:dyDescent="0.25"/>
  <sheetData>
    <row r="1" spans="1:5" s="195" customFormat="1" ht="19.5" thickBot="1" x14ac:dyDescent="0.35">
      <c r="A1" s="194" t="s">
        <v>146</v>
      </c>
    </row>
    <row r="2" spans="1:5" s="191" customFormat="1" ht="24" thickBot="1" x14ac:dyDescent="0.4">
      <c r="A2" s="190" t="s">
        <v>198</v>
      </c>
    </row>
    <row r="4" spans="1:5" x14ac:dyDescent="0.25">
      <c r="B4" t="s">
        <v>91</v>
      </c>
    </row>
    <row r="6" spans="1:5" x14ac:dyDescent="0.25">
      <c r="B6" s="1" t="s">
        <v>68</v>
      </c>
      <c r="E6" t="s">
        <v>64</v>
      </c>
    </row>
    <row r="7" spans="1:5" x14ac:dyDescent="0.25">
      <c r="B7" s="1" t="s">
        <v>69</v>
      </c>
      <c r="E7" t="s">
        <v>65</v>
      </c>
    </row>
    <row r="8" spans="1:5" x14ac:dyDescent="0.25">
      <c r="B8" s="1" t="s">
        <v>70</v>
      </c>
      <c r="E8" t="s">
        <v>66</v>
      </c>
    </row>
    <row r="9" spans="1:5" x14ac:dyDescent="0.25">
      <c r="B9" s="1"/>
    </row>
    <row r="10" spans="1:5" ht="15.75" thickBot="1" x14ac:dyDescent="0.3">
      <c r="B10" s="29" t="s">
        <v>48</v>
      </c>
      <c r="D10" s="29" t="s">
        <v>16</v>
      </c>
    </row>
    <row r="11" spans="1:5" x14ac:dyDescent="0.25">
      <c r="B11" s="45">
        <v>47</v>
      </c>
      <c r="D11" s="48">
        <f>COUNT(B11:B24)</f>
        <v>9</v>
      </c>
      <c r="E11" t="s">
        <v>61</v>
      </c>
    </row>
    <row r="12" spans="1:5" x14ac:dyDescent="0.25">
      <c r="B12" s="46">
        <v>85</v>
      </c>
      <c r="D12" s="49">
        <f>COUNTA(B11:B24)</f>
        <v>12</v>
      </c>
      <c r="E12" t="s">
        <v>62</v>
      </c>
    </row>
    <row r="13" spans="1:5" ht="15.75" thickBot="1" x14ac:dyDescent="0.3">
      <c r="B13" s="46">
        <v>3</v>
      </c>
      <c r="D13" s="50">
        <f>COUNTBLANK(B11:B24)</f>
        <v>2</v>
      </c>
      <c r="E13" t="s">
        <v>63</v>
      </c>
    </row>
    <row r="14" spans="1:5" x14ac:dyDescent="0.25">
      <c r="B14" s="46" t="s">
        <v>60</v>
      </c>
    </row>
    <row r="15" spans="1:5" x14ac:dyDescent="0.25">
      <c r="B15" s="46">
        <v>4</v>
      </c>
    </row>
    <row r="16" spans="1:5" x14ac:dyDescent="0.25">
      <c r="B16" s="46" t="s">
        <v>60</v>
      </c>
    </row>
    <row r="17" spans="2:7" x14ac:dyDescent="0.25">
      <c r="B17" s="46">
        <v>90</v>
      </c>
    </row>
    <row r="18" spans="2:7" x14ac:dyDescent="0.25">
      <c r="B18" s="46"/>
    </row>
    <row r="19" spans="2:7" x14ac:dyDescent="0.25">
      <c r="B19" s="46">
        <v>62</v>
      </c>
    </row>
    <row r="20" spans="2:7" x14ac:dyDescent="0.25">
      <c r="B20" s="46">
        <v>78</v>
      </c>
    </row>
    <row r="21" spans="2:7" x14ac:dyDescent="0.25">
      <c r="B21" s="46">
        <v>19</v>
      </c>
    </row>
    <row r="22" spans="2:7" x14ac:dyDescent="0.25">
      <c r="B22" s="46" t="s">
        <v>60</v>
      </c>
    </row>
    <row r="23" spans="2:7" x14ac:dyDescent="0.25">
      <c r="B23" s="46">
        <v>21</v>
      </c>
    </row>
    <row r="24" spans="2:7" ht="15.75" thickBot="1" x14ac:dyDescent="0.3">
      <c r="B24" s="47"/>
    </row>
    <row r="27" spans="2:7" x14ac:dyDescent="0.25">
      <c r="B27" t="s">
        <v>90</v>
      </c>
    </row>
    <row r="29" spans="2:7" x14ac:dyDescent="0.25">
      <c r="B29" s="1" t="s">
        <v>67</v>
      </c>
      <c r="G29" t="s">
        <v>84</v>
      </c>
    </row>
    <row r="31" spans="2:7" x14ac:dyDescent="0.25">
      <c r="B31" s="1" t="s">
        <v>79</v>
      </c>
      <c r="G31" t="s">
        <v>106</v>
      </c>
    </row>
    <row r="34" spans="2:13" ht="15.75" thickBot="1" x14ac:dyDescent="0.3">
      <c r="B34" s="29" t="s">
        <v>48</v>
      </c>
      <c r="D34" s="29" t="s">
        <v>16</v>
      </c>
      <c r="I34" s="29" t="s">
        <v>82</v>
      </c>
      <c r="J34" s="29" t="s">
        <v>83</v>
      </c>
      <c r="L34" s="29" t="s">
        <v>16</v>
      </c>
      <c r="M34" s="19"/>
    </row>
    <row r="35" spans="2:13" ht="15.75" thickBot="1" x14ac:dyDescent="0.3">
      <c r="B35" s="45" t="s">
        <v>81</v>
      </c>
      <c r="D35" s="53">
        <f>COUNTIF(B35:B45,"=Y")</f>
        <v>7</v>
      </c>
      <c r="E35" t="s">
        <v>88</v>
      </c>
      <c r="I35" s="45" t="s">
        <v>81</v>
      </c>
      <c r="J35" s="45" t="s">
        <v>80</v>
      </c>
      <c r="L35" s="53">
        <f>COUNTIFS(I35:I45,"=Y",J35:J45,"=y")</f>
        <v>4</v>
      </c>
      <c r="M35" s="19" t="s">
        <v>86</v>
      </c>
    </row>
    <row r="36" spans="2:13" x14ac:dyDescent="0.25">
      <c r="B36" s="46" t="s">
        <v>80</v>
      </c>
      <c r="E36" t="s">
        <v>89</v>
      </c>
      <c r="I36" s="46" t="s">
        <v>80</v>
      </c>
      <c r="J36" s="46" t="s">
        <v>80</v>
      </c>
      <c r="M36" t="s">
        <v>87</v>
      </c>
    </row>
    <row r="37" spans="2:13" x14ac:dyDescent="0.25">
      <c r="B37" s="46" t="s">
        <v>80</v>
      </c>
      <c r="I37" s="46" t="s">
        <v>80</v>
      </c>
      <c r="J37" s="46" t="s">
        <v>81</v>
      </c>
    </row>
    <row r="38" spans="2:13" x14ac:dyDescent="0.25">
      <c r="B38" s="46" t="s">
        <v>81</v>
      </c>
      <c r="I38" s="46" t="s">
        <v>81</v>
      </c>
      <c r="J38" s="46" t="s">
        <v>81</v>
      </c>
    </row>
    <row r="39" spans="2:13" x14ac:dyDescent="0.25">
      <c r="B39" s="46" t="s">
        <v>80</v>
      </c>
      <c r="I39" s="46" t="s">
        <v>80</v>
      </c>
      <c r="J39" s="46" t="s">
        <v>80</v>
      </c>
    </row>
    <row r="40" spans="2:13" x14ac:dyDescent="0.25">
      <c r="B40" s="46" t="s">
        <v>80</v>
      </c>
      <c r="I40" s="46" t="s">
        <v>80</v>
      </c>
      <c r="J40" s="46" t="s">
        <v>80</v>
      </c>
    </row>
    <row r="41" spans="2:13" x14ac:dyDescent="0.25">
      <c r="B41" s="46" t="s">
        <v>81</v>
      </c>
      <c r="I41" s="46" t="s">
        <v>81</v>
      </c>
      <c r="J41" s="46" t="s">
        <v>80</v>
      </c>
    </row>
    <row r="42" spans="2:13" x14ac:dyDescent="0.25">
      <c r="B42" s="46" t="s">
        <v>80</v>
      </c>
      <c r="I42" s="46" t="s">
        <v>80</v>
      </c>
      <c r="J42" s="46" t="s">
        <v>81</v>
      </c>
    </row>
    <row r="43" spans="2:13" x14ac:dyDescent="0.25">
      <c r="B43" s="46" t="s">
        <v>81</v>
      </c>
      <c r="I43" s="46" t="s">
        <v>81</v>
      </c>
      <c r="J43" s="46" t="s">
        <v>80</v>
      </c>
    </row>
    <row r="44" spans="2:13" x14ac:dyDescent="0.25">
      <c r="B44" s="46" t="s">
        <v>80</v>
      </c>
      <c r="I44" s="46" t="s">
        <v>80</v>
      </c>
      <c r="J44" s="46" t="s">
        <v>80</v>
      </c>
    </row>
    <row r="45" spans="2:13" ht="15.75" thickBot="1" x14ac:dyDescent="0.3">
      <c r="B45" s="47" t="s">
        <v>80</v>
      </c>
      <c r="I45" s="47" t="s">
        <v>80</v>
      </c>
      <c r="J45" s="47" t="s">
        <v>81</v>
      </c>
    </row>
    <row r="50" spans="2:10" x14ac:dyDescent="0.25">
      <c r="B50" s="168"/>
      <c r="C50" s="168"/>
      <c r="D50" s="168"/>
      <c r="E50" s="168"/>
      <c r="F50" s="168"/>
      <c r="G50" s="168"/>
      <c r="H50" s="168"/>
      <c r="I50" s="168"/>
      <c r="J50" s="168"/>
    </row>
    <row r="51" spans="2:10" x14ac:dyDescent="0.25">
      <c r="B51" s="168"/>
      <c r="C51" s="168"/>
      <c r="D51" s="168"/>
      <c r="E51" s="168"/>
      <c r="F51" s="168"/>
      <c r="G51" s="168"/>
      <c r="H51" s="168"/>
      <c r="I51" s="168"/>
      <c r="J51" s="168"/>
    </row>
    <row r="52" spans="2:10" x14ac:dyDescent="0.25">
      <c r="B52" s="83"/>
      <c r="C52" s="83"/>
      <c r="D52" s="83"/>
      <c r="E52" s="168"/>
      <c r="F52" s="83"/>
      <c r="G52" s="168"/>
      <c r="H52" s="168"/>
      <c r="I52" s="168"/>
      <c r="J52" s="168"/>
    </row>
    <row r="53" spans="2:10" x14ac:dyDescent="0.25">
      <c r="B53" s="186"/>
      <c r="C53" s="186"/>
      <c r="D53" s="186"/>
      <c r="E53" s="168"/>
      <c r="F53" s="186"/>
      <c r="G53" s="168"/>
      <c r="H53" s="168"/>
      <c r="I53" s="168"/>
      <c r="J53" s="168"/>
    </row>
    <row r="54" spans="2:10" x14ac:dyDescent="0.25">
      <c r="B54" s="186"/>
      <c r="C54" s="186"/>
      <c r="D54" s="186"/>
      <c r="E54" s="168"/>
      <c r="F54" s="186"/>
      <c r="G54" s="168"/>
      <c r="H54" s="168"/>
      <c r="I54" s="168"/>
      <c r="J54" s="168"/>
    </row>
    <row r="55" spans="2:10" x14ac:dyDescent="0.25">
      <c r="B55" s="186"/>
      <c r="C55" s="186"/>
      <c r="D55" s="186"/>
      <c r="E55" s="168"/>
      <c r="F55" s="186"/>
      <c r="G55" s="168"/>
      <c r="H55" s="168"/>
      <c r="I55" s="168"/>
      <c r="J55" s="168"/>
    </row>
    <row r="56" spans="2:10" x14ac:dyDescent="0.25">
      <c r="B56" s="186"/>
      <c r="C56" s="186"/>
      <c r="D56" s="186"/>
      <c r="E56" s="168"/>
      <c r="F56" s="186"/>
      <c r="G56" s="168"/>
      <c r="H56" s="168"/>
      <c r="I56" s="168"/>
      <c r="J56" s="168"/>
    </row>
    <row r="57" spans="2:10" x14ac:dyDescent="0.25">
      <c r="B57" s="168"/>
      <c r="C57" s="168"/>
      <c r="D57" s="168"/>
      <c r="E57" s="168"/>
      <c r="F57" s="168"/>
      <c r="G57" s="168"/>
      <c r="H57" s="168"/>
      <c r="I57" s="168"/>
      <c r="J57" s="168"/>
    </row>
    <row r="58" spans="2:10" x14ac:dyDescent="0.25">
      <c r="B58" s="168"/>
      <c r="C58" s="168"/>
      <c r="D58" s="168"/>
      <c r="E58" s="168"/>
      <c r="F58" s="168"/>
      <c r="G58" s="168"/>
      <c r="H58" s="168"/>
      <c r="I58" s="168"/>
      <c r="J58" s="168"/>
    </row>
    <row r="59" spans="2:10" x14ac:dyDescent="0.25">
      <c r="B59" s="168"/>
      <c r="C59" s="168"/>
      <c r="D59" s="168"/>
      <c r="E59" s="168"/>
      <c r="F59" s="168"/>
      <c r="G59" s="168"/>
      <c r="H59" s="168"/>
      <c r="I59" s="168"/>
      <c r="J59" s="168"/>
    </row>
  </sheetData>
  <mergeCells count="2">
    <mergeCell ref="A2:XFD2"/>
    <mergeCell ref="A1:XFD1"/>
  </mergeCells>
  <hyperlinks>
    <hyperlink ref="A1" location="Home!A1" display="Click here to go to home page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66"/>
  <sheetViews>
    <sheetView showGridLines="0" workbookViewId="0">
      <pane ySplit="2" topLeftCell="A3" activePane="bottomLeft" state="frozen"/>
      <selection pane="bottomLeft" sqref="A1:XFD1"/>
    </sheetView>
  </sheetViews>
  <sheetFormatPr defaultRowHeight="15" x14ac:dyDescent="0.25"/>
  <cols>
    <col min="1" max="16384" width="9.140625" style="19"/>
  </cols>
  <sheetData>
    <row r="1" spans="1:12" s="195" customFormat="1" ht="19.5" thickBot="1" x14ac:dyDescent="0.35">
      <c r="A1" s="194" t="s">
        <v>146</v>
      </c>
    </row>
    <row r="2" spans="1:12" s="191" customFormat="1" ht="24" thickBot="1" x14ac:dyDescent="0.4">
      <c r="A2" s="190" t="s">
        <v>199</v>
      </c>
    </row>
    <row r="4" spans="1:12" x14ac:dyDescent="0.25">
      <c r="B4" s="19" t="s">
        <v>96</v>
      </c>
    </row>
    <row r="6" spans="1:12" x14ac:dyDescent="0.25">
      <c r="B6" s="1" t="s">
        <v>94</v>
      </c>
      <c r="D6" s="19" t="s">
        <v>95</v>
      </c>
    </row>
    <row r="7" spans="1:12" x14ac:dyDescent="0.25">
      <c r="B7" s="1"/>
    </row>
    <row r="8" spans="1:12" x14ac:dyDescent="0.25">
      <c r="B8" s="19" t="s">
        <v>97</v>
      </c>
    </row>
    <row r="9" spans="1:12" x14ac:dyDescent="0.25">
      <c r="B9" s="1"/>
    </row>
    <row r="10" spans="1:12" ht="15.75" thickBot="1" x14ac:dyDescent="0.3">
      <c r="B10" s="29" t="s">
        <v>48</v>
      </c>
      <c r="D10" s="29" t="s">
        <v>16</v>
      </c>
      <c r="L10" s="29" t="s">
        <v>404</v>
      </c>
    </row>
    <row r="11" spans="1:12" ht="15.75" thickBot="1" x14ac:dyDescent="0.3">
      <c r="B11" s="45">
        <f ca="1">RANDBETWEEN(0,100)</f>
        <v>11</v>
      </c>
      <c r="D11" s="52">
        <f ca="1">SUM(B11:B24)</f>
        <v>462</v>
      </c>
      <c r="E11" s="19" t="s">
        <v>98</v>
      </c>
      <c r="L11" s="19" t="s">
        <v>406</v>
      </c>
    </row>
    <row r="12" spans="1:12" ht="15.75" thickBot="1" x14ac:dyDescent="0.3">
      <c r="B12" s="46">
        <f t="shared" ref="B12:B23" ca="1" si="0">RANDBETWEEN(0,100)</f>
        <v>19</v>
      </c>
      <c r="D12" s="51"/>
    </row>
    <row r="13" spans="1:12" x14ac:dyDescent="0.25">
      <c r="B13" s="46">
        <f t="shared" ca="1" si="0"/>
        <v>82</v>
      </c>
      <c r="D13" s="19" t="s">
        <v>99</v>
      </c>
      <c r="L13" s="139">
        <v>10</v>
      </c>
    </row>
    <row r="14" spans="1:12" x14ac:dyDescent="0.25">
      <c r="B14" s="46" t="s">
        <v>60</v>
      </c>
      <c r="L14" s="140">
        <v>15</v>
      </c>
    </row>
    <row r="15" spans="1:12" x14ac:dyDescent="0.25">
      <c r="B15" s="46">
        <f t="shared" ca="1" si="0"/>
        <v>65</v>
      </c>
      <c r="L15" s="140">
        <v>3</v>
      </c>
    </row>
    <row r="16" spans="1:12" x14ac:dyDescent="0.25">
      <c r="B16" s="46" t="s">
        <v>60</v>
      </c>
      <c r="L16" s="140">
        <v>5</v>
      </c>
    </row>
    <row r="17" spans="2:13" x14ac:dyDescent="0.25">
      <c r="B17" s="46">
        <f t="shared" ca="1" si="0"/>
        <v>19</v>
      </c>
      <c r="L17" s="140">
        <v>9</v>
      </c>
    </row>
    <row r="18" spans="2:13" x14ac:dyDescent="0.25">
      <c r="B18" s="46"/>
      <c r="L18" s="140">
        <v>87</v>
      </c>
    </row>
    <row r="19" spans="2:13" ht="15.75" thickBot="1" x14ac:dyDescent="0.3">
      <c r="B19" s="46">
        <f t="shared" ca="1" si="0"/>
        <v>65</v>
      </c>
      <c r="L19" s="141">
        <v>41</v>
      </c>
    </row>
    <row r="20" spans="2:13" ht="15.75" thickBot="1" x14ac:dyDescent="0.3">
      <c r="B20" s="46">
        <f t="shared" ca="1" si="0"/>
        <v>59</v>
      </c>
      <c r="L20" s="33"/>
      <c r="M20" s="19" t="s">
        <v>405</v>
      </c>
    </row>
    <row r="21" spans="2:13" x14ac:dyDescent="0.25">
      <c r="B21" s="46">
        <f t="shared" ca="1" si="0"/>
        <v>65</v>
      </c>
    </row>
    <row r="22" spans="2:13" x14ac:dyDescent="0.25">
      <c r="B22" s="46" t="s">
        <v>60</v>
      </c>
    </row>
    <row r="23" spans="2:13" x14ac:dyDescent="0.25">
      <c r="B23" s="46">
        <f t="shared" ca="1" si="0"/>
        <v>77</v>
      </c>
    </row>
    <row r="24" spans="2:13" ht="15.75" thickBot="1" x14ac:dyDescent="0.3">
      <c r="B24" s="47"/>
    </row>
    <row r="27" spans="2:13" x14ac:dyDescent="0.25">
      <c r="B27" s="19" t="s">
        <v>529</v>
      </c>
    </row>
    <row r="29" spans="2:13" x14ac:dyDescent="0.25">
      <c r="B29" s="1" t="s">
        <v>102</v>
      </c>
      <c r="K29" s="19" t="s">
        <v>101</v>
      </c>
    </row>
    <row r="31" spans="2:13" x14ac:dyDescent="0.25">
      <c r="B31" s="1" t="s">
        <v>100</v>
      </c>
      <c r="K31" s="19" t="s">
        <v>85</v>
      </c>
    </row>
    <row r="34" spans="2:13" ht="15.75" thickBot="1" x14ac:dyDescent="0.3">
      <c r="B34" s="29" t="s">
        <v>48</v>
      </c>
      <c r="D34" s="29" t="s">
        <v>16</v>
      </c>
      <c r="I34" s="29" t="s">
        <v>82</v>
      </c>
      <c r="J34" s="29" t="s">
        <v>83</v>
      </c>
      <c r="L34" s="29" t="s">
        <v>16</v>
      </c>
    </row>
    <row r="35" spans="2:13" ht="15.75" thickBot="1" x14ac:dyDescent="0.3">
      <c r="B35" s="45">
        <v>33</v>
      </c>
      <c r="D35" s="53">
        <f>SUMIF(B35:B45,"&gt;20")</f>
        <v>236</v>
      </c>
      <c r="E35" s="19" t="s">
        <v>103</v>
      </c>
      <c r="I35" s="45" t="s">
        <v>81</v>
      </c>
      <c r="J35" s="45">
        <v>33</v>
      </c>
      <c r="L35" s="53">
        <f>SUMIFS(J35:J45,I35:I45,"=Y",J35:J45,"&gt;20")</f>
        <v>161</v>
      </c>
      <c r="M35" s="19" t="s">
        <v>105</v>
      </c>
    </row>
    <row r="36" spans="2:13" x14ac:dyDescent="0.25">
      <c r="B36" s="46">
        <v>23</v>
      </c>
      <c r="I36" s="46" t="s">
        <v>80</v>
      </c>
      <c r="J36" s="46">
        <v>23</v>
      </c>
    </row>
    <row r="37" spans="2:13" x14ac:dyDescent="0.25">
      <c r="B37" s="46">
        <v>8</v>
      </c>
      <c r="D37" s="19" t="s">
        <v>104</v>
      </c>
      <c r="I37" s="46" t="s">
        <v>80</v>
      </c>
      <c r="J37" s="46">
        <v>8</v>
      </c>
      <c r="L37" s="19" t="s">
        <v>455</v>
      </c>
    </row>
    <row r="38" spans="2:13" x14ac:dyDescent="0.25">
      <c r="B38" s="46">
        <v>11</v>
      </c>
      <c r="I38" s="46" t="s">
        <v>81</v>
      </c>
      <c r="J38" s="46">
        <v>11</v>
      </c>
    </row>
    <row r="39" spans="2:13" x14ac:dyDescent="0.25">
      <c r="B39" s="46">
        <v>15</v>
      </c>
      <c r="I39" s="46" t="s">
        <v>80</v>
      </c>
      <c r="J39" s="46">
        <v>15</v>
      </c>
    </row>
    <row r="40" spans="2:13" x14ac:dyDescent="0.25">
      <c r="B40" s="46">
        <v>50</v>
      </c>
      <c r="I40" s="46" t="s">
        <v>80</v>
      </c>
      <c r="J40" s="46">
        <v>50</v>
      </c>
    </row>
    <row r="41" spans="2:13" x14ac:dyDescent="0.25">
      <c r="B41" s="46">
        <v>15</v>
      </c>
      <c r="I41" s="46" t="s">
        <v>81</v>
      </c>
      <c r="J41" s="46">
        <v>15</v>
      </c>
    </row>
    <row r="42" spans="2:13" x14ac:dyDescent="0.25">
      <c r="B42" s="46">
        <v>40</v>
      </c>
      <c r="I42" s="46" t="s">
        <v>80</v>
      </c>
      <c r="J42" s="46">
        <v>40</v>
      </c>
    </row>
    <row r="43" spans="2:13" x14ac:dyDescent="0.25">
      <c r="B43" s="46">
        <v>42</v>
      </c>
      <c r="I43" s="46" t="s">
        <v>81</v>
      </c>
      <c r="J43" s="46">
        <v>42</v>
      </c>
    </row>
    <row r="44" spans="2:13" x14ac:dyDescent="0.25">
      <c r="B44" s="46">
        <v>48</v>
      </c>
      <c r="I44" s="46" t="s">
        <v>80</v>
      </c>
      <c r="J44" s="46">
        <v>48</v>
      </c>
    </row>
    <row r="45" spans="2:13" ht="15.75" thickBot="1" x14ac:dyDescent="0.3">
      <c r="B45" s="47">
        <v>12</v>
      </c>
      <c r="I45" s="47" t="s">
        <v>80</v>
      </c>
      <c r="J45" s="47">
        <v>12</v>
      </c>
    </row>
    <row r="49" spans="2:12" x14ac:dyDescent="0.25">
      <c r="B49" s="29" t="s">
        <v>536</v>
      </c>
    </row>
    <row r="50" spans="2:12" x14ac:dyDescent="0.25">
      <c r="B50" s="29" t="s">
        <v>533</v>
      </c>
    </row>
    <row r="53" spans="2:12" ht="15.75" thickBot="1" x14ac:dyDescent="0.3">
      <c r="B53" s="29" t="s">
        <v>82</v>
      </c>
      <c r="C53" s="29" t="s">
        <v>83</v>
      </c>
      <c r="D53" s="29" t="s">
        <v>531</v>
      </c>
      <c r="F53" s="29" t="s">
        <v>530</v>
      </c>
      <c r="J53" s="29" t="s">
        <v>16</v>
      </c>
    </row>
    <row r="54" spans="2:12" ht="15.75" thickBot="1" x14ac:dyDescent="0.3">
      <c r="B54" s="181">
        <v>1</v>
      </c>
      <c r="C54" s="181">
        <v>1</v>
      </c>
      <c r="D54" s="181">
        <v>1</v>
      </c>
      <c r="F54" s="45" t="s">
        <v>81</v>
      </c>
    </row>
    <row r="55" spans="2:12" ht="15.75" thickBot="1" x14ac:dyDescent="0.3">
      <c r="B55" s="182">
        <v>1</v>
      </c>
      <c r="C55" s="182">
        <v>1</v>
      </c>
      <c r="D55" s="182">
        <v>1</v>
      </c>
      <c r="F55" s="46" t="s">
        <v>80</v>
      </c>
      <c r="J55" s="184">
        <f>SUMIF(F54:F57,"=Y",B54:D57)</f>
        <v>2</v>
      </c>
      <c r="K55" s="1" t="s">
        <v>532</v>
      </c>
    </row>
    <row r="56" spans="2:12" ht="15.75" thickBot="1" x14ac:dyDescent="0.3">
      <c r="B56" s="182">
        <v>1</v>
      </c>
      <c r="C56" s="182">
        <v>1</v>
      </c>
      <c r="D56" s="182">
        <v>1</v>
      </c>
      <c r="F56" s="46" t="s">
        <v>81</v>
      </c>
    </row>
    <row r="57" spans="2:12" ht="15.75" thickBot="1" x14ac:dyDescent="0.3">
      <c r="B57" s="183">
        <v>1</v>
      </c>
      <c r="C57" s="183">
        <v>1</v>
      </c>
      <c r="D57" s="183">
        <v>1</v>
      </c>
      <c r="F57" s="47" t="s">
        <v>80</v>
      </c>
      <c r="J57" s="185">
        <f>SUMIF(F54:F57,"=Y",C54:C57)+SUMIF(F54:F57,"=Y",B54:B57)+SUMIF(F54:F57,"=Y",D54:D57)</f>
        <v>6</v>
      </c>
      <c r="K57" s="1" t="s">
        <v>534</v>
      </c>
    </row>
    <row r="60" spans="2:12" x14ac:dyDescent="0.25">
      <c r="B60" s="29" t="s">
        <v>535</v>
      </c>
    </row>
    <row r="62" spans="2:12" ht="15.75" thickBot="1" x14ac:dyDescent="0.3">
      <c r="B62" s="29" t="s">
        <v>82</v>
      </c>
      <c r="C62" s="29" t="s">
        <v>83</v>
      </c>
      <c r="D62" s="29" t="s">
        <v>531</v>
      </c>
      <c r="E62" s="173"/>
      <c r="F62" s="29" t="s">
        <v>530</v>
      </c>
      <c r="G62" s="29" t="s">
        <v>530</v>
      </c>
      <c r="H62" s="29" t="s">
        <v>530</v>
      </c>
      <c r="J62" s="29" t="s">
        <v>16</v>
      </c>
      <c r="K62" s="173"/>
      <c r="L62" s="173"/>
    </row>
    <row r="63" spans="2:12" ht="15.75" thickBot="1" x14ac:dyDescent="0.3">
      <c r="B63" s="181">
        <v>1</v>
      </c>
      <c r="C63" s="181">
        <v>1</v>
      </c>
      <c r="D63" s="181">
        <v>1</v>
      </c>
      <c r="E63" s="173"/>
      <c r="F63" s="45" t="s">
        <v>81</v>
      </c>
      <c r="G63" s="45" t="s">
        <v>81</v>
      </c>
      <c r="H63" s="45" t="s">
        <v>81</v>
      </c>
      <c r="J63" s="173"/>
      <c r="K63" s="173"/>
      <c r="L63" s="173"/>
    </row>
    <row r="64" spans="2:12" ht="15.75" thickBot="1" x14ac:dyDescent="0.3">
      <c r="B64" s="182">
        <v>1</v>
      </c>
      <c r="C64" s="182">
        <v>1</v>
      </c>
      <c r="D64" s="182">
        <v>1</v>
      </c>
      <c r="E64" s="173"/>
      <c r="F64" s="46" t="s">
        <v>80</v>
      </c>
      <c r="G64" s="46" t="s">
        <v>80</v>
      </c>
      <c r="H64" s="46" t="s">
        <v>80</v>
      </c>
      <c r="J64" s="185">
        <f>SUMIF(F63:H66,"=Y",B63:D66)</f>
        <v>6</v>
      </c>
      <c r="K64" s="1" t="s">
        <v>532</v>
      </c>
      <c r="L64" s="173"/>
    </row>
    <row r="65" spans="2:8" x14ac:dyDescent="0.25">
      <c r="B65" s="182">
        <v>1</v>
      </c>
      <c r="C65" s="182">
        <v>1</v>
      </c>
      <c r="D65" s="182">
        <v>1</v>
      </c>
      <c r="E65" s="173"/>
      <c r="F65" s="46" t="s">
        <v>81</v>
      </c>
      <c r="G65" s="46" t="s">
        <v>81</v>
      </c>
      <c r="H65" s="46" t="s">
        <v>81</v>
      </c>
    </row>
    <row r="66" spans="2:8" ht="15.75" thickBot="1" x14ac:dyDescent="0.3">
      <c r="B66" s="183">
        <v>1</v>
      </c>
      <c r="C66" s="183">
        <v>1</v>
      </c>
      <c r="D66" s="183">
        <v>1</v>
      </c>
      <c r="E66" s="173"/>
      <c r="F66" s="47" t="s">
        <v>80</v>
      </c>
      <c r="G66" s="47" t="s">
        <v>80</v>
      </c>
      <c r="H66" s="47" t="s">
        <v>80</v>
      </c>
    </row>
  </sheetData>
  <mergeCells count="2">
    <mergeCell ref="A2:XFD2"/>
    <mergeCell ref="A1:XFD1"/>
  </mergeCells>
  <hyperlinks>
    <hyperlink ref="A1" location="Home!A1" display="Click here to go to home page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81"/>
  <sheetViews>
    <sheetView showGridLines="0" workbookViewId="0">
      <pane ySplit="2" topLeftCell="A3" activePane="bottomLeft" state="frozen"/>
      <selection pane="bottomLeft" sqref="A1:XFD1"/>
    </sheetView>
  </sheetViews>
  <sheetFormatPr defaultRowHeight="15" x14ac:dyDescent="0.25"/>
  <cols>
    <col min="4" max="6" width="9.140625" customWidth="1"/>
  </cols>
  <sheetData>
    <row r="1" spans="1:3" s="195" customFormat="1" ht="19.5" thickBot="1" x14ac:dyDescent="0.35">
      <c r="A1" s="194" t="s">
        <v>146</v>
      </c>
    </row>
    <row r="2" spans="1:3" s="191" customFormat="1" ht="24" thickBot="1" x14ac:dyDescent="0.4">
      <c r="A2" s="190" t="s">
        <v>107</v>
      </c>
    </row>
    <row r="4" spans="1:3" x14ac:dyDescent="0.25">
      <c r="B4" t="s">
        <v>108</v>
      </c>
    </row>
    <row r="5" spans="1:3" x14ac:dyDescent="0.25">
      <c r="B5" t="s">
        <v>116</v>
      </c>
    </row>
    <row r="6" spans="1:3" x14ac:dyDescent="0.25">
      <c r="B6" t="s">
        <v>111</v>
      </c>
    </row>
    <row r="8" spans="1:3" x14ac:dyDescent="0.25">
      <c r="B8" t="s">
        <v>109</v>
      </c>
    </row>
    <row r="9" spans="1:3" x14ac:dyDescent="0.25">
      <c r="B9" t="s">
        <v>110</v>
      </c>
    </row>
    <row r="11" spans="1:3" x14ac:dyDescent="0.25">
      <c r="B11" t="s">
        <v>112</v>
      </c>
    </row>
    <row r="12" spans="1:3" x14ac:dyDescent="0.25">
      <c r="B12" t="s">
        <v>113</v>
      </c>
    </row>
    <row r="14" spans="1:3" x14ac:dyDescent="0.25">
      <c r="B14" t="s">
        <v>114</v>
      </c>
    </row>
    <row r="15" spans="1:3" ht="15.75" thickBot="1" x14ac:dyDescent="0.3"/>
    <row r="16" spans="1:3" ht="15.75" thickBot="1" x14ac:dyDescent="0.3">
      <c r="A16" s="1" t="s">
        <v>115</v>
      </c>
      <c r="B16" s="33" t="str">
        <f>A16</f>
        <v/>
      </c>
      <c r="C16" t="s">
        <v>158</v>
      </c>
    </row>
    <row r="17" spans="1:29" x14ac:dyDescent="0.25">
      <c r="C17" t="s">
        <v>159</v>
      </c>
    </row>
    <row r="20" spans="1:29" ht="15.75" thickBot="1" x14ac:dyDescent="0.3"/>
    <row r="21" spans="1:29" s="191" customFormat="1" ht="24" thickBot="1" x14ac:dyDescent="0.4">
      <c r="A21" s="190" t="s">
        <v>160</v>
      </c>
    </row>
    <row r="23" spans="1:29" x14ac:dyDescent="0.25">
      <c r="B23" t="s">
        <v>117</v>
      </c>
    </row>
    <row r="24" spans="1:29" x14ac:dyDescent="0.25">
      <c r="B24" t="s">
        <v>138</v>
      </c>
    </row>
    <row r="26" spans="1:29" x14ac:dyDescent="0.25">
      <c r="B26" s="63">
        <v>1</v>
      </c>
      <c r="C26" t="s">
        <v>118</v>
      </c>
      <c r="P26" t="s">
        <v>123</v>
      </c>
      <c r="V26" s="54" t="s">
        <v>124</v>
      </c>
      <c r="AC26" s="54" t="s">
        <v>125</v>
      </c>
    </row>
    <row r="27" spans="1:29" s="54" customFormat="1" x14ac:dyDescent="0.25">
      <c r="B27" s="63">
        <f>B26+1</f>
        <v>2</v>
      </c>
      <c r="C27" s="54" t="s">
        <v>119</v>
      </c>
    </row>
    <row r="28" spans="1:29" s="54" customFormat="1" x14ac:dyDescent="0.25">
      <c r="B28" s="63">
        <f>B27+1</f>
        <v>3</v>
      </c>
      <c r="C28" s="54" t="s">
        <v>120</v>
      </c>
    </row>
    <row r="29" spans="1:29" s="54" customFormat="1" x14ac:dyDescent="0.25">
      <c r="B29" s="63">
        <f>B28+1</f>
        <v>4</v>
      </c>
      <c r="C29" s="54" t="s">
        <v>135</v>
      </c>
    </row>
    <row r="30" spans="1:29" s="54" customFormat="1" x14ac:dyDescent="0.25">
      <c r="B30" s="63">
        <v>5</v>
      </c>
      <c r="C30" s="54" t="s">
        <v>121</v>
      </c>
    </row>
    <row r="31" spans="1:29" s="54" customFormat="1" x14ac:dyDescent="0.25">
      <c r="B31" s="63">
        <v>6</v>
      </c>
      <c r="C31" s="54" t="s">
        <v>122</v>
      </c>
    </row>
    <row r="32" spans="1:29" ht="15.75" thickBot="1" x14ac:dyDescent="0.3"/>
    <row r="33" spans="1:13" ht="15.75" thickBot="1" x14ac:dyDescent="0.3">
      <c r="G33" s="73"/>
      <c r="H33" s="54" t="s">
        <v>144</v>
      </c>
    </row>
    <row r="34" spans="1:13" x14ac:dyDescent="0.25">
      <c r="M34" s="54"/>
    </row>
    <row r="35" spans="1:13" x14ac:dyDescent="0.25">
      <c r="G35" s="54" t="s">
        <v>127</v>
      </c>
    </row>
    <row r="36" spans="1:13" ht="15.75" thickBot="1" x14ac:dyDescent="0.3"/>
    <row r="37" spans="1:13" x14ac:dyDescent="0.25">
      <c r="C37" s="67">
        <v>1</v>
      </c>
      <c r="D37" s="55">
        <f t="shared" ref="D37:F41" si="0">$C37*2+C37</f>
        <v>3</v>
      </c>
      <c r="E37" s="56">
        <f t="shared" si="0"/>
        <v>5</v>
      </c>
      <c r="F37" s="21">
        <f t="shared" si="0"/>
        <v>7</v>
      </c>
      <c r="G37" s="54"/>
    </row>
    <row r="38" spans="1:13" x14ac:dyDescent="0.25">
      <c r="C38" s="68">
        <f>C37+2</f>
        <v>3</v>
      </c>
      <c r="D38" s="57">
        <f t="shared" si="0"/>
        <v>9</v>
      </c>
      <c r="E38" s="58">
        <f>$C38*2+D38</f>
        <v>15</v>
      </c>
      <c r="F38" s="61">
        <f>$C38*2+E38</f>
        <v>21</v>
      </c>
      <c r="G38" s="54"/>
      <c r="H38" s="54"/>
    </row>
    <row r="39" spans="1:13" x14ac:dyDescent="0.25">
      <c r="C39" s="68">
        <f>C38+2</f>
        <v>5</v>
      </c>
      <c r="D39" s="57">
        <f t="shared" si="0"/>
        <v>15</v>
      </c>
      <c r="E39" s="58">
        <f t="shared" si="0"/>
        <v>25</v>
      </c>
      <c r="F39" s="61">
        <f>$C39*2+E39</f>
        <v>35</v>
      </c>
      <c r="G39" s="54"/>
      <c r="H39" s="54"/>
    </row>
    <row r="40" spans="1:13" x14ac:dyDescent="0.25">
      <c r="C40" s="68">
        <f>C39+2</f>
        <v>7</v>
      </c>
      <c r="D40" s="57">
        <f t="shared" si="0"/>
        <v>21</v>
      </c>
      <c r="E40" s="58">
        <f t="shared" si="0"/>
        <v>35</v>
      </c>
      <c r="F40" s="61">
        <f t="shared" si="0"/>
        <v>49</v>
      </c>
      <c r="G40" s="54"/>
      <c r="H40" s="54"/>
    </row>
    <row r="41" spans="1:13" ht="15.75" thickBot="1" x14ac:dyDescent="0.3">
      <c r="C41" s="69">
        <f>C40+2</f>
        <v>9</v>
      </c>
      <c r="D41" s="59">
        <f t="shared" si="0"/>
        <v>27</v>
      </c>
      <c r="E41" s="60">
        <f t="shared" si="0"/>
        <v>45</v>
      </c>
      <c r="F41" s="62">
        <f t="shared" si="0"/>
        <v>63</v>
      </c>
      <c r="G41" s="54"/>
      <c r="H41" s="54"/>
    </row>
    <row r="42" spans="1:13" x14ac:dyDescent="0.25">
      <c r="C42" s="54"/>
      <c r="D42" s="54"/>
      <c r="E42" s="54"/>
      <c r="F42" s="54"/>
    </row>
    <row r="43" spans="1:13" x14ac:dyDescent="0.25">
      <c r="C43" s="54"/>
      <c r="D43" s="54"/>
      <c r="E43" s="54"/>
      <c r="F43" s="54"/>
      <c r="G43" t="s">
        <v>129</v>
      </c>
    </row>
    <row r="44" spans="1:13" x14ac:dyDescent="0.25">
      <c r="C44" s="54"/>
      <c r="D44" s="54"/>
      <c r="E44" s="54"/>
      <c r="F44" s="54"/>
    </row>
    <row r="45" spans="1:13" ht="15.75" thickBot="1" x14ac:dyDescent="0.3">
      <c r="C45" s="54"/>
      <c r="D45" s="54"/>
      <c r="E45" s="54"/>
      <c r="F45" s="54"/>
    </row>
    <row r="46" spans="1:13" s="191" customFormat="1" ht="24" thickBot="1" x14ac:dyDescent="0.4">
      <c r="A46" s="190" t="s">
        <v>161</v>
      </c>
    </row>
    <row r="47" spans="1:13" s="54" customFormat="1" x14ac:dyDescent="0.25"/>
    <row r="48" spans="1:13" s="54" customFormat="1" x14ac:dyDescent="0.25">
      <c r="B48" s="54" t="s">
        <v>126</v>
      </c>
    </row>
    <row r="49" spans="2:31" s="54" customFormat="1" x14ac:dyDescent="0.25">
      <c r="B49" s="54" t="s">
        <v>138</v>
      </c>
    </row>
    <row r="51" spans="2:31" s="54" customFormat="1" x14ac:dyDescent="0.25">
      <c r="B51" s="63">
        <v>1</v>
      </c>
      <c r="C51" s="54" t="s">
        <v>131</v>
      </c>
      <c r="Q51" s="54" t="s">
        <v>123</v>
      </c>
      <c r="X51" s="54" t="s">
        <v>124</v>
      </c>
      <c r="AE51" s="54" t="s">
        <v>125</v>
      </c>
    </row>
    <row r="52" spans="2:31" s="54" customFormat="1" x14ac:dyDescent="0.25">
      <c r="B52" s="63">
        <f>B51+1</f>
        <v>2</v>
      </c>
      <c r="C52" s="54" t="s">
        <v>132</v>
      </c>
    </row>
    <row r="53" spans="2:31" s="54" customFormat="1" x14ac:dyDescent="0.25">
      <c r="B53" s="63">
        <f>B52+1</f>
        <v>3</v>
      </c>
      <c r="C53" s="54" t="s">
        <v>133</v>
      </c>
    </row>
    <row r="54" spans="2:31" s="54" customFormat="1" x14ac:dyDescent="0.25">
      <c r="B54" s="63">
        <f>B53+1</f>
        <v>4</v>
      </c>
      <c r="C54" s="54" t="s">
        <v>134</v>
      </c>
    </row>
    <row r="55" spans="2:31" s="54" customFormat="1" x14ac:dyDescent="0.25">
      <c r="B55" s="63">
        <v>5</v>
      </c>
      <c r="C55" s="54" t="s">
        <v>136</v>
      </c>
    </row>
    <row r="56" spans="2:31" s="54" customFormat="1" x14ac:dyDescent="0.25">
      <c r="B56" s="63">
        <v>6</v>
      </c>
      <c r="C56" s="54" t="s">
        <v>137</v>
      </c>
    </row>
    <row r="57" spans="2:31" ht="15.75" thickBot="1" x14ac:dyDescent="0.3">
      <c r="G57" s="54"/>
    </row>
    <row r="58" spans="2:31" ht="15.75" thickBot="1" x14ac:dyDescent="0.3">
      <c r="H58" s="73"/>
      <c r="I58" s="54" t="s">
        <v>143</v>
      </c>
    </row>
    <row r="59" spans="2:31" ht="15.75" thickBot="1" x14ac:dyDescent="0.3">
      <c r="C59" s="70">
        <v>1</v>
      </c>
      <c r="D59" s="71">
        <f>C59+2</f>
        <v>3</v>
      </c>
      <c r="E59" s="71">
        <f>D59+2</f>
        <v>5</v>
      </c>
      <c r="F59" s="72">
        <f>E59+2</f>
        <v>7</v>
      </c>
    </row>
    <row r="60" spans="2:31" x14ac:dyDescent="0.25">
      <c r="C60" s="64">
        <f t="shared" ref="C60:F62" si="1">C$59*2+C59</f>
        <v>3</v>
      </c>
      <c r="D60" s="65">
        <f t="shared" si="1"/>
        <v>9</v>
      </c>
      <c r="E60" s="65">
        <f t="shared" si="1"/>
        <v>15</v>
      </c>
      <c r="F60" s="66">
        <f t="shared" si="1"/>
        <v>21</v>
      </c>
      <c r="H60" t="s">
        <v>128</v>
      </c>
    </row>
    <row r="61" spans="2:31" x14ac:dyDescent="0.25">
      <c r="C61" s="57">
        <f t="shared" si="1"/>
        <v>5</v>
      </c>
      <c r="D61" s="58">
        <f t="shared" si="1"/>
        <v>15</v>
      </c>
      <c r="E61" s="58">
        <f t="shared" si="1"/>
        <v>25</v>
      </c>
      <c r="F61" s="61">
        <f t="shared" si="1"/>
        <v>35</v>
      </c>
      <c r="H61" t="s">
        <v>130</v>
      </c>
    </row>
    <row r="62" spans="2:31" ht="15.75" thickBot="1" x14ac:dyDescent="0.3">
      <c r="C62" s="17">
        <f t="shared" si="1"/>
        <v>7</v>
      </c>
      <c r="D62" s="60">
        <f t="shared" si="1"/>
        <v>21</v>
      </c>
      <c r="E62" s="60">
        <f t="shared" si="1"/>
        <v>35</v>
      </c>
      <c r="F62" s="62">
        <f t="shared" si="1"/>
        <v>49</v>
      </c>
    </row>
    <row r="63" spans="2:31" x14ac:dyDescent="0.25">
      <c r="C63" s="54"/>
      <c r="D63" s="54"/>
      <c r="E63" s="54"/>
      <c r="F63" s="54"/>
    </row>
    <row r="64" spans="2:31" s="54" customFormat="1" x14ac:dyDescent="0.25"/>
    <row r="65" spans="1:9" s="54" customFormat="1" x14ac:dyDescent="0.25"/>
    <row r="66" spans="1:9" s="54" customFormat="1" x14ac:dyDescent="0.25"/>
    <row r="67" spans="1:9" s="54" customFormat="1" x14ac:dyDescent="0.25"/>
    <row r="68" spans="1:9" ht="15.75" thickBot="1" x14ac:dyDescent="0.3">
      <c r="C68" s="54"/>
      <c r="D68" s="54"/>
      <c r="E68" s="54"/>
      <c r="F68" s="54"/>
    </row>
    <row r="69" spans="1:9" s="191" customFormat="1" ht="24" thickBot="1" x14ac:dyDescent="0.4">
      <c r="A69" s="190" t="s">
        <v>162</v>
      </c>
    </row>
    <row r="70" spans="1:9" s="54" customFormat="1" x14ac:dyDescent="0.25"/>
    <row r="71" spans="1:9" s="54" customFormat="1" x14ac:dyDescent="0.25">
      <c r="B71" s="54" t="s">
        <v>139</v>
      </c>
    </row>
    <row r="72" spans="1:9" s="54" customFormat="1" x14ac:dyDescent="0.25">
      <c r="B72" s="54" t="s">
        <v>142</v>
      </c>
    </row>
    <row r="73" spans="1:9" s="54" customFormat="1" x14ac:dyDescent="0.25"/>
    <row r="74" spans="1:9" s="54" customFormat="1" x14ac:dyDescent="0.25"/>
    <row r="75" spans="1:9" s="54" customFormat="1" ht="15.75" thickBot="1" x14ac:dyDescent="0.3"/>
    <row r="76" spans="1:9" s="54" customFormat="1" ht="15.75" thickBot="1" x14ac:dyDescent="0.3">
      <c r="H76" s="73"/>
      <c r="I76" s="54" t="s">
        <v>145</v>
      </c>
    </row>
    <row r="77" spans="1:9" s="54" customFormat="1" ht="15.75" thickBot="1" x14ac:dyDescent="0.3"/>
    <row r="78" spans="1:9" s="54" customFormat="1" ht="15.75" thickBot="1" x14ac:dyDescent="0.3">
      <c r="C78" s="73">
        <v>1</v>
      </c>
      <c r="D78" s="74">
        <f>$C$78*2+D77+C78</f>
        <v>3</v>
      </c>
      <c r="E78" s="56">
        <f>$C$78*2+E77+D78</f>
        <v>5</v>
      </c>
      <c r="F78" s="75">
        <f>$C$78*2+F77+E78</f>
        <v>7</v>
      </c>
    </row>
    <row r="79" spans="1:9" s="54" customFormat="1" x14ac:dyDescent="0.25">
      <c r="C79" s="64">
        <f t="shared" ref="C79:D81" si="2">$C$78*2+C78+B79</f>
        <v>3</v>
      </c>
      <c r="D79" s="58">
        <f t="shared" si="2"/>
        <v>8</v>
      </c>
      <c r="E79" s="58">
        <f t="shared" ref="E79:F81" si="3">$C$78*2+E78+D79</f>
        <v>15</v>
      </c>
      <c r="F79" s="61">
        <f t="shared" si="3"/>
        <v>24</v>
      </c>
      <c r="H79" s="54" t="s">
        <v>140</v>
      </c>
    </row>
    <row r="80" spans="1:9" s="54" customFormat="1" x14ac:dyDescent="0.25">
      <c r="C80" s="57">
        <f t="shared" si="2"/>
        <v>5</v>
      </c>
      <c r="D80" s="58">
        <f t="shared" si="2"/>
        <v>15</v>
      </c>
      <c r="E80" s="58">
        <f t="shared" si="3"/>
        <v>32</v>
      </c>
      <c r="F80" s="61">
        <f t="shared" si="3"/>
        <v>58</v>
      </c>
      <c r="H80" s="54" t="s">
        <v>141</v>
      </c>
    </row>
    <row r="81" spans="3:6" s="54" customFormat="1" ht="15.75" thickBot="1" x14ac:dyDescent="0.3">
      <c r="C81" s="59">
        <f t="shared" si="2"/>
        <v>7</v>
      </c>
      <c r="D81" s="60">
        <f t="shared" si="2"/>
        <v>24</v>
      </c>
      <c r="E81" s="60">
        <f t="shared" si="3"/>
        <v>58</v>
      </c>
      <c r="F81" s="62">
        <f t="shared" si="3"/>
        <v>118</v>
      </c>
    </row>
  </sheetData>
  <mergeCells count="5">
    <mergeCell ref="A2:XFD2"/>
    <mergeCell ref="A21:XFD21"/>
    <mergeCell ref="A46:XFD46"/>
    <mergeCell ref="A69:XFD69"/>
    <mergeCell ref="A1:XFD1"/>
  </mergeCells>
  <hyperlinks>
    <hyperlink ref="A1" location="Home!A1" display="Click here to go to home page"/>
  </hyperlink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183"/>
  <sheetViews>
    <sheetView showGridLines="0" workbookViewId="0">
      <pane ySplit="2" topLeftCell="A3" activePane="bottomLeft" state="frozen"/>
      <selection pane="bottomLeft" sqref="A1:XFD1"/>
    </sheetView>
  </sheetViews>
  <sheetFormatPr defaultRowHeight="15" x14ac:dyDescent="0.25"/>
  <cols>
    <col min="2" max="2" width="11.7109375" customWidth="1"/>
    <col min="7" max="7" width="20" customWidth="1"/>
    <col min="13" max="13" width="10.7109375" customWidth="1"/>
    <col min="14" max="14" width="29.42578125" customWidth="1"/>
    <col min="15" max="15" width="13.5703125" customWidth="1"/>
  </cols>
  <sheetData>
    <row r="1" spans="1:4" s="195" customFormat="1" ht="19.5" thickBot="1" x14ac:dyDescent="0.35">
      <c r="A1" s="194" t="s">
        <v>146</v>
      </c>
    </row>
    <row r="2" spans="1:4" s="191" customFormat="1" ht="24" thickBot="1" x14ac:dyDescent="0.4">
      <c r="A2" s="190" t="s">
        <v>200</v>
      </c>
    </row>
    <row r="4" spans="1:4" x14ac:dyDescent="0.25">
      <c r="B4" t="s">
        <v>165</v>
      </c>
    </row>
    <row r="6" spans="1:4" x14ac:dyDescent="0.25">
      <c r="B6" s="29" t="s">
        <v>164</v>
      </c>
    </row>
    <row r="8" spans="1:4" x14ac:dyDescent="0.25">
      <c r="B8" s="1" t="s">
        <v>166</v>
      </c>
    </row>
    <row r="10" spans="1:4" x14ac:dyDescent="0.25">
      <c r="B10" t="s">
        <v>167</v>
      </c>
      <c r="D10" t="s">
        <v>170</v>
      </c>
    </row>
    <row r="12" spans="1:4" x14ac:dyDescent="0.25">
      <c r="B12" t="s">
        <v>168</v>
      </c>
      <c r="D12" s="78" t="s">
        <v>169</v>
      </c>
    </row>
    <row r="13" spans="1:4" x14ac:dyDescent="0.25">
      <c r="D13" t="s">
        <v>185</v>
      </c>
    </row>
    <row r="14" spans="1:4" x14ac:dyDescent="0.25">
      <c r="D14" t="s">
        <v>171</v>
      </c>
    </row>
    <row r="18" spans="1:13" x14ac:dyDescent="0.25">
      <c r="B18" s="29" t="s">
        <v>186</v>
      </c>
      <c r="F18" s="29" t="s">
        <v>16</v>
      </c>
      <c r="G18" s="29" t="s">
        <v>184</v>
      </c>
      <c r="I18" s="29" t="s">
        <v>179</v>
      </c>
    </row>
    <row r="19" spans="1:13" x14ac:dyDescent="0.25">
      <c r="B19" s="80" t="s">
        <v>172</v>
      </c>
      <c r="C19" s="16">
        <v>1.333</v>
      </c>
      <c r="F19" s="79">
        <f ca="1">INDIRECT(B19)</f>
        <v>1.333</v>
      </c>
      <c r="G19" s="82" t="s">
        <v>175</v>
      </c>
      <c r="I19" t="s">
        <v>180</v>
      </c>
    </row>
    <row r="20" spans="1:13" x14ac:dyDescent="0.25">
      <c r="B20" s="80" t="s">
        <v>173</v>
      </c>
      <c r="C20" s="16">
        <v>45</v>
      </c>
      <c r="F20" s="79">
        <f ca="1">INDIRECT(B20)</f>
        <v>45</v>
      </c>
      <c r="G20" s="82" t="s">
        <v>176</v>
      </c>
      <c r="I20" s="78" t="s">
        <v>181</v>
      </c>
    </row>
    <row r="21" spans="1:13" x14ac:dyDescent="0.25">
      <c r="B21" s="80" t="s">
        <v>174</v>
      </c>
      <c r="C21" s="16">
        <v>10</v>
      </c>
      <c r="F21" s="79">
        <f ca="1">INDIRECT(B21)</f>
        <v>10</v>
      </c>
      <c r="G21" s="82" t="s">
        <v>177</v>
      </c>
      <c r="I21" s="78" t="s">
        <v>182</v>
      </c>
    </row>
    <row r="22" spans="1:13" x14ac:dyDescent="0.25">
      <c r="B22" s="81">
        <v>22</v>
      </c>
      <c r="C22" s="16">
        <v>62</v>
      </c>
      <c r="F22" s="79">
        <f ca="1">INDIRECT("C"&amp;B22)</f>
        <v>62</v>
      </c>
      <c r="G22" s="82" t="s">
        <v>178</v>
      </c>
      <c r="I22" s="78" t="s">
        <v>183</v>
      </c>
    </row>
    <row r="24" spans="1:13" x14ac:dyDescent="0.25">
      <c r="B24" s="83" t="s">
        <v>187</v>
      </c>
      <c r="F24" s="29" t="s">
        <v>16</v>
      </c>
      <c r="G24" s="29" t="s">
        <v>184</v>
      </c>
      <c r="I24" s="29" t="s">
        <v>179</v>
      </c>
    </row>
    <row r="25" spans="1:13" x14ac:dyDescent="0.25">
      <c r="B25" s="80" t="s">
        <v>188</v>
      </c>
      <c r="C25" s="16">
        <v>72</v>
      </c>
      <c r="F25" s="79">
        <f ca="1">INDIRECT(B25, FALSE)</f>
        <v>72</v>
      </c>
      <c r="G25" s="82" t="s">
        <v>191</v>
      </c>
      <c r="I25" s="78" t="s">
        <v>193</v>
      </c>
    </row>
    <row r="26" spans="1:13" x14ac:dyDescent="0.25">
      <c r="B26" s="80" t="s">
        <v>189</v>
      </c>
      <c r="C26" s="16" t="s">
        <v>190</v>
      </c>
      <c r="F26" s="79" t="str">
        <f ca="1">INDIRECT(B26,FALSE)</f>
        <v>test</v>
      </c>
      <c r="G26" s="82" t="s">
        <v>192</v>
      </c>
      <c r="I26" s="78" t="s">
        <v>194</v>
      </c>
    </row>
    <row r="29" spans="1:13" ht="15.75" thickBot="1" x14ac:dyDescent="0.3"/>
    <row r="30" spans="1:13" s="191" customFormat="1" ht="24" thickBot="1" x14ac:dyDescent="0.4">
      <c r="A30" s="190" t="s">
        <v>195</v>
      </c>
    </row>
    <row r="31" spans="1:13" x14ac:dyDescent="0.25">
      <c r="K31" s="101"/>
    </row>
    <row r="32" spans="1:13" ht="30" x14ac:dyDescent="0.4">
      <c r="A32" s="85" t="s">
        <v>202</v>
      </c>
      <c r="B32" s="84"/>
      <c r="C32" s="84"/>
      <c r="D32" s="84"/>
      <c r="E32" s="84"/>
      <c r="F32" s="84"/>
      <c r="G32" s="84"/>
      <c r="H32" s="84"/>
      <c r="K32" s="102"/>
      <c r="M32" s="113" t="s">
        <v>301</v>
      </c>
    </row>
    <row r="33" spans="1:14" x14ac:dyDescent="0.25">
      <c r="A33" s="84"/>
      <c r="B33" s="84"/>
      <c r="C33" s="84"/>
      <c r="D33" s="84"/>
      <c r="E33" s="84"/>
      <c r="F33" s="84"/>
      <c r="G33" s="84"/>
      <c r="H33" s="84"/>
      <c r="K33" s="102"/>
    </row>
    <row r="34" spans="1:14" s="3" customFormat="1" ht="15" customHeight="1" x14ac:dyDescent="0.25">
      <c r="A34" s="96" t="s">
        <v>203</v>
      </c>
      <c r="B34" s="96" t="s">
        <v>204</v>
      </c>
      <c r="C34" s="97" t="s">
        <v>205</v>
      </c>
      <c r="D34" s="98"/>
      <c r="K34" s="103"/>
      <c r="M34" t="s">
        <v>201</v>
      </c>
    </row>
    <row r="35" spans="1:14" s="3" customFormat="1" x14ac:dyDescent="0.25">
      <c r="A35" s="99"/>
      <c r="B35" s="99"/>
      <c r="C35" s="100" t="s">
        <v>206</v>
      </c>
      <c r="D35" s="100" t="s">
        <v>207</v>
      </c>
      <c r="K35" s="103"/>
      <c r="M35" t="s">
        <v>290</v>
      </c>
    </row>
    <row r="36" spans="1:14" x14ac:dyDescent="0.25">
      <c r="A36" s="86" t="s">
        <v>208</v>
      </c>
      <c r="B36" s="95" t="s">
        <v>209</v>
      </c>
      <c r="C36" s="86" t="s">
        <v>210</v>
      </c>
      <c r="D36" s="86" t="s">
        <v>210</v>
      </c>
      <c r="E36" s="84"/>
      <c r="F36" s="84"/>
      <c r="G36" s="84"/>
      <c r="H36" s="84"/>
      <c r="I36" s="148"/>
      <c r="K36" s="102"/>
    </row>
    <row r="37" spans="1:14" x14ac:dyDescent="0.25">
      <c r="A37" s="86" t="s">
        <v>211</v>
      </c>
      <c r="B37" s="95" t="s">
        <v>212</v>
      </c>
      <c r="C37" s="86" t="s">
        <v>210</v>
      </c>
      <c r="D37" s="86" t="s">
        <v>210</v>
      </c>
      <c r="E37" s="84"/>
      <c r="F37" s="84"/>
      <c r="G37" s="127"/>
      <c r="H37" s="84"/>
      <c r="I37" s="148"/>
      <c r="K37" s="102"/>
      <c r="M37" s="3" t="s">
        <v>527</v>
      </c>
      <c r="N37" s="3"/>
    </row>
    <row r="38" spans="1:14" x14ac:dyDescent="0.25">
      <c r="A38" s="86" t="s">
        <v>213</v>
      </c>
      <c r="B38" s="95" t="s">
        <v>214</v>
      </c>
      <c r="C38" s="86" t="s">
        <v>210</v>
      </c>
      <c r="D38" s="86" t="s">
        <v>210</v>
      </c>
      <c r="E38" s="84"/>
      <c r="F38" s="84"/>
      <c r="G38" s="127"/>
      <c r="H38" s="84"/>
      <c r="I38" s="148"/>
      <c r="K38" s="102"/>
    </row>
    <row r="39" spans="1:14" x14ac:dyDescent="0.25">
      <c r="A39" s="86" t="s">
        <v>215</v>
      </c>
      <c r="B39" s="95" t="s">
        <v>216</v>
      </c>
      <c r="C39" s="86" t="s">
        <v>210</v>
      </c>
      <c r="D39" s="86" t="s">
        <v>210</v>
      </c>
      <c r="E39" s="84"/>
      <c r="F39" s="84"/>
      <c r="G39" s="127"/>
      <c r="H39" s="84"/>
      <c r="I39" s="148"/>
      <c r="K39" s="102"/>
      <c r="M39" s="3" t="s">
        <v>285</v>
      </c>
      <c r="N39" s="3"/>
    </row>
    <row r="40" spans="1:14" x14ac:dyDescent="0.25">
      <c r="A40" s="86" t="s">
        <v>217</v>
      </c>
      <c r="B40" s="95" t="s">
        <v>218</v>
      </c>
      <c r="C40" s="86" t="s">
        <v>210</v>
      </c>
      <c r="D40" s="86" t="s">
        <v>210</v>
      </c>
      <c r="E40" s="84"/>
      <c r="F40" s="84"/>
      <c r="G40" s="127"/>
      <c r="H40" s="84"/>
      <c r="K40" s="102"/>
    </row>
    <row r="41" spans="1:14" x14ac:dyDescent="0.25">
      <c r="A41" s="86" t="s">
        <v>219</v>
      </c>
      <c r="B41" s="95" t="s">
        <v>220</v>
      </c>
      <c r="C41" s="86" t="s">
        <v>210</v>
      </c>
      <c r="D41" s="86" t="s">
        <v>210</v>
      </c>
      <c r="E41" s="84"/>
      <c r="F41" s="84"/>
      <c r="G41" s="127"/>
      <c r="H41" s="84"/>
      <c r="K41" s="102"/>
      <c r="M41" s="29" t="s">
        <v>286</v>
      </c>
    </row>
    <row r="42" spans="1:14" x14ac:dyDescent="0.25">
      <c r="A42" s="86" t="s">
        <v>221</v>
      </c>
      <c r="B42" s="95" t="s">
        <v>222</v>
      </c>
      <c r="C42" s="86" t="s">
        <v>210</v>
      </c>
      <c r="D42" s="86" t="s">
        <v>210</v>
      </c>
      <c r="E42" s="84"/>
      <c r="F42" s="84"/>
      <c r="G42" s="127"/>
      <c r="H42" s="84"/>
      <c r="K42" s="102"/>
      <c r="M42" s="63">
        <v>1</v>
      </c>
      <c r="N42" t="s">
        <v>287</v>
      </c>
    </row>
    <row r="43" spans="1:14" x14ac:dyDescent="0.25">
      <c r="A43" s="86" t="s">
        <v>223</v>
      </c>
      <c r="B43" s="95" t="s">
        <v>224</v>
      </c>
      <c r="C43" s="86" t="s">
        <v>210</v>
      </c>
      <c r="D43" s="86" t="s">
        <v>210</v>
      </c>
      <c r="E43" s="84"/>
      <c r="F43" s="84"/>
      <c r="G43" s="127"/>
      <c r="H43" s="84"/>
      <c r="K43" s="102"/>
      <c r="M43" s="63">
        <f>M42+1</f>
        <v>2</v>
      </c>
      <c r="N43" t="s">
        <v>288</v>
      </c>
    </row>
    <row r="44" spans="1:14" x14ac:dyDescent="0.25">
      <c r="A44" s="84"/>
      <c r="B44" s="84"/>
      <c r="C44" s="84"/>
      <c r="D44" s="84"/>
      <c r="E44" s="84"/>
      <c r="F44" s="84"/>
      <c r="G44" s="84"/>
      <c r="H44" s="84"/>
      <c r="K44" s="102"/>
      <c r="M44" s="63">
        <f>M43+1</f>
        <v>3</v>
      </c>
      <c r="N44" t="s">
        <v>289</v>
      </c>
    </row>
    <row r="45" spans="1:14" x14ac:dyDescent="0.25">
      <c r="A45" s="84"/>
      <c r="B45" s="84"/>
      <c r="C45" s="84"/>
      <c r="D45" s="84"/>
      <c r="E45" s="84"/>
      <c r="F45" s="84"/>
      <c r="G45" s="84"/>
      <c r="H45" s="84"/>
      <c r="K45" s="102"/>
    </row>
    <row r="46" spans="1:14" x14ac:dyDescent="0.25">
      <c r="A46" s="84"/>
      <c r="B46" s="84"/>
      <c r="C46" s="84"/>
      <c r="D46" s="84"/>
      <c r="E46" s="84"/>
      <c r="F46" s="84"/>
      <c r="G46" s="84"/>
      <c r="H46" s="84"/>
      <c r="K46" s="102"/>
      <c r="M46" s="29" t="s">
        <v>302</v>
      </c>
    </row>
    <row r="47" spans="1:14" ht="24.75" customHeight="1" x14ac:dyDescent="0.4">
      <c r="A47" s="85" t="s">
        <v>225</v>
      </c>
      <c r="B47" s="84"/>
      <c r="C47" s="84"/>
      <c r="D47" s="84"/>
      <c r="E47" s="84"/>
      <c r="F47" s="84"/>
      <c r="G47" s="84"/>
      <c r="H47" s="84"/>
      <c r="K47" s="102"/>
      <c r="M47" s="63">
        <f>ROW(A64)-ROW(A47)</f>
        <v>17</v>
      </c>
      <c r="N47" s="1" t="s">
        <v>291</v>
      </c>
    </row>
    <row r="48" spans="1:14" x14ac:dyDescent="0.25">
      <c r="A48" s="84"/>
      <c r="B48" s="84"/>
      <c r="C48" s="84"/>
      <c r="D48" s="84"/>
      <c r="E48" s="84"/>
      <c r="F48" s="84"/>
      <c r="G48" s="84"/>
      <c r="H48" s="84"/>
      <c r="K48" s="102"/>
      <c r="M48" s="63">
        <f>ROW(D55)</f>
        <v>55</v>
      </c>
      <c r="N48" s="1" t="s">
        <v>292</v>
      </c>
    </row>
    <row r="49" spans="1:16" ht="30" x14ac:dyDescent="0.4">
      <c r="A49" s="85" t="s">
        <v>226</v>
      </c>
      <c r="B49" s="84"/>
      <c r="C49" s="84"/>
      <c r="D49" s="84"/>
      <c r="E49" s="84"/>
      <c r="F49" s="84"/>
      <c r="G49" s="84"/>
      <c r="H49" s="84"/>
      <c r="K49" s="102"/>
      <c r="M49" s="63" t="s">
        <v>294</v>
      </c>
      <c r="N49" s="1" t="s">
        <v>293</v>
      </c>
    </row>
    <row r="50" spans="1:16" x14ac:dyDescent="0.25">
      <c r="A50" s="84"/>
      <c r="B50" s="84"/>
      <c r="C50" s="84"/>
      <c r="D50" s="84"/>
      <c r="E50" s="84"/>
      <c r="F50" s="84"/>
      <c r="G50" s="84"/>
      <c r="H50" s="84"/>
      <c r="K50" s="102"/>
    </row>
    <row r="51" spans="1:16" ht="23.25" x14ac:dyDescent="0.35">
      <c r="A51" s="87" t="s">
        <v>227</v>
      </c>
      <c r="B51" s="84"/>
      <c r="C51" s="84"/>
      <c r="D51" s="84"/>
      <c r="E51" s="84"/>
      <c r="F51" s="84"/>
      <c r="G51" s="84"/>
      <c r="H51" s="84"/>
      <c r="K51" s="102"/>
      <c r="M51" t="s">
        <v>295</v>
      </c>
    </row>
    <row r="52" spans="1:16" ht="15.75" thickBot="1" x14ac:dyDescent="0.3">
      <c r="A52" s="84"/>
      <c r="B52" s="84"/>
      <c r="C52" s="84"/>
      <c r="D52" s="84"/>
      <c r="E52" s="84"/>
      <c r="F52" s="84"/>
      <c r="G52" s="84"/>
      <c r="H52" s="84"/>
      <c r="K52" s="102"/>
    </row>
    <row r="53" spans="1:16" s="2" customFormat="1" ht="30.75" thickBot="1" x14ac:dyDescent="0.3">
      <c r="A53" s="218" t="s">
        <v>228</v>
      </c>
      <c r="B53" s="218" t="s">
        <v>229</v>
      </c>
      <c r="C53" s="220" t="s">
        <v>230</v>
      </c>
      <c r="D53" s="221"/>
      <c r="E53" s="222"/>
      <c r="F53" s="88" t="s">
        <v>231</v>
      </c>
      <c r="G53" s="88" t="s">
        <v>232</v>
      </c>
      <c r="K53" s="104"/>
      <c r="M53" s="106" t="s">
        <v>299</v>
      </c>
      <c r="N53" s="111" t="s">
        <v>296</v>
      </c>
      <c r="O53" s="112" t="s">
        <v>297</v>
      </c>
    </row>
    <row r="54" spans="1:16" x14ac:dyDescent="0.25">
      <c r="A54" s="219"/>
      <c r="B54" s="219"/>
      <c r="C54" s="89" t="s">
        <v>233</v>
      </c>
      <c r="D54" s="89" t="s">
        <v>234</v>
      </c>
      <c r="E54" s="89" t="s">
        <v>235</v>
      </c>
      <c r="F54" s="90" t="s">
        <v>236</v>
      </c>
      <c r="G54" s="90" t="s">
        <v>237</v>
      </c>
      <c r="H54" s="84"/>
      <c r="K54" s="102"/>
      <c r="M54" s="107">
        <v>0</v>
      </c>
      <c r="N54" s="109" t="str">
        <f t="shared" ref="N54:N61" si="0">B36</f>
        <v>Library</v>
      </c>
      <c r="O54" s="110">
        <f ca="1">INDIRECT($M$49&amp;$M$48+$M$47*M54)</f>
        <v>3.3000000000000002E-2</v>
      </c>
      <c r="P54" t="s">
        <v>298</v>
      </c>
    </row>
    <row r="55" spans="1:16" x14ac:dyDescent="0.25">
      <c r="A55" s="91" t="s">
        <v>238</v>
      </c>
      <c r="B55" s="223" t="s">
        <v>239</v>
      </c>
      <c r="C55" s="226">
        <v>4.0000000000000001E-3</v>
      </c>
      <c r="D55" s="226">
        <v>3.3000000000000002E-2</v>
      </c>
      <c r="E55" s="226">
        <v>0.33400000000000002</v>
      </c>
      <c r="F55" s="223">
        <v>0.11</v>
      </c>
      <c r="G55" s="223">
        <v>0.01</v>
      </c>
      <c r="H55" s="84"/>
      <c r="K55" s="102"/>
      <c r="M55" s="107">
        <f>M54+1</f>
        <v>1</v>
      </c>
      <c r="N55" s="5" t="str">
        <f t="shared" si="0"/>
        <v>PE</v>
      </c>
      <c r="O55" s="110">
        <f ca="1">INDIRECT($M$49&amp;$M$48+$M$47*M55)</f>
        <v>5.1999999999999998E-2</v>
      </c>
    </row>
    <row r="56" spans="1:16" x14ac:dyDescent="0.25">
      <c r="A56" s="92" t="s">
        <v>240</v>
      </c>
      <c r="B56" s="224"/>
      <c r="C56" s="227"/>
      <c r="D56" s="227"/>
      <c r="E56" s="227"/>
      <c r="F56" s="224"/>
      <c r="G56" s="224"/>
      <c r="H56" s="84"/>
      <c r="K56" s="102"/>
      <c r="M56" s="107">
        <f t="shared" ref="M56:M61" si="1">M55+1</f>
        <v>2</v>
      </c>
      <c r="N56" s="5" t="str">
        <f t="shared" si="0"/>
        <v>Deputy Pricipal's Office (G058)</v>
      </c>
      <c r="O56" s="110">
        <f t="shared" ref="O56:O61" ca="1" si="2">INDIRECT($M$49&amp;$M$48+$M$47*M56)</f>
        <v>5.6000000000000001E-2</v>
      </c>
    </row>
    <row r="57" spans="1:16" ht="18" x14ac:dyDescent="0.25">
      <c r="A57" s="92" t="s">
        <v>241</v>
      </c>
      <c r="B57" s="224"/>
      <c r="C57" s="227"/>
      <c r="D57" s="227"/>
      <c r="E57" s="227"/>
      <c r="F57" s="224"/>
      <c r="G57" s="224"/>
      <c r="H57" s="84"/>
      <c r="K57" s="102"/>
      <c r="M57" s="107">
        <f t="shared" si="1"/>
        <v>3</v>
      </c>
      <c r="N57" s="5" t="str">
        <f t="shared" si="0"/>
        <v>Principal's Office (F072)</v>
      </c>
      <c r="O57" s="110">
        <f t="shared" ca="1" si="2"/>
        <v>1.9E-2</v>
      </c>
    </row>
    <row r="58" spans="1:16" ht="18" x14ac:dyDescent="0.25">
      <c r="A58" s="92" t="s">
        <v>242</v>
      </c>
      <c r="B58" s="225"/>
      <c r="C58" s="228"/>
      <c r="D58" s="228"/>
      <c r="E58" s="228"/>
      <c r="F58" s="225"/>
      <c r="G58" s="225"/>
      <c r="H58" s="84"/>
      <c r="K58" s="102"/>
      <c r="M58" s="107">
        <f t="shared" si="1"/>
        <v>4</v>
      </c>
      <c r="N58" s="5" t="str">
        <f t="shared" si="0"/>
        <v>SNU Office (G040)</v>
      </c>
      <c r="O58" s="110">
        <f t="shared" ca="1" si="2"/>
        <v>2.1000000000000001E-2</v>
      </c>
    </row>
    <row r="59" spans="1:16" x14ac:dyDescent="0.25">
      <c r="A59" s="92" t="s">
        <v>243</v>
      </c>
      <c r="B59" s="93" t="s">
        <v>244</v>
      </c>
      <c r="C59" s="93" t="s">
        <v>245</v>
      </c>
      <c r="D59" s="93" t="s">
        <v>246</v>
      </c>
      <c r="E59" s="93" t="s">
        <v>247</v>
      </c>
      <c r="F59" s="93">
        <v>0.11</v>
      </c>
      <c r="G59" s="93">
        <v>0.01</v>
      </c>
      <c r="H59" s="84"/>
      <c r="K59" s="102"/>
      <c r="M59" s="107">
        <f t="shared" si="1"/>
        <v>5</v>
      </c>
      <c r="N59" s="5" t="str">
        <f t="shared" si="0"/>
        <v>Staff Room</v>
      </c>
      <c r="O59" s="110">
        <f t="shared" ca="1" si="2"/>
        <v>2.5000000000000001E-2</v>
      </c>
    </row>
    <row r="60" spans="1:16" x14ac:dyDescent="0.25">
      <c r="A60" s="94" t="s">
        <v>248</v>
      </c>
      <c r="B60" s="93" t="s">
        <v>249</v>
      </c>
      <c r="C60" s="93">
        <v>1</v>
      </c>
      <c r="D60" s="93">
        <v>1</v>
      </c>
      <c r="E60" s="93">
        <v>1</v>
      </c>
      <c r="F60" s="93">
        <v>1</v>
      </c>
      <c r="G60" s="93">
        <v>1</v>
      </c>
      <c r="H60" s="84"/>
      <c r="K60" s="102"/>
      <c r="M60" s="107">
        <f t="shared" si="1"/>
        <v>6</v>
      </c>
      <c r="N60" s="5" t="str">
        <f t="shared" si="0"/>
        <v>Classroom 11 (G029)</v>
      </c>
      <c r="O60" s="110">
        <f t="shared" ca="1" si="2"/>
        <v>4.5999999999999999E-2</v>
      </c>
    </row>
    <row r="61" spans="1:16" ht="15.75" thickBot="1" x14ac:dyDescent="0.3">
      <c r="A61" s="84"/>
      <c r="B61" s="84"/>
      <c r="C61" s="84"/>
      <c r="D61" s="84"/>
      <c r="E61" s="84"/>
      <c r="F61" s="84"/>
      <c r="G61" s="84"/>
      <c r="H61" s="84"/>
      <c r="K61" s="102"/>
      <c r="M61" s="107">
        <f t="shared" si="1"/>
        <v>7</v>
      </c>
      <c r="N61" s="108" t="str">
        <f t="shared" si="0"/>
        <v>Classroom 9 (G025)</v>
      </c>
      <c r="O61" s="149">
        <f t="shared" ca="1" si="2"/>
        <v>4.1000000000000002E-2</v>
      </c>
    </row>
    <row r="62" spans="1:16" x14ac:dyDescent="0.25">
      <c r="A62" s="84"/>
      <c r="B62" s="84"/>
      <c r="C62" s="84"/>
      <c r="D62" s="84"/>
      <c r="E62" s="84"/>
      <c r="F62" s="84"/>
      <c r="G62" s="84"/>
      <c r="H62" s="84"/>
      <c r="K62" s="102"/>
      <c r="M62" s="84"/>
    </row>
    <row r="63" spans="1:16" x14ac:dyDescent="0.25">
      <c r="A63" s="84"/>
      <c r="B63" s="84"/>
      <c r="C63" s="84"/>
      <c r="D63" s="84"/>
      <c r="E63" s="84"/>
      <c r="F63" s="84"/>
      <c r="G63" s="84"/>
      <c r="H63" s="84"/>
      <c r="K63" s="102"/>
      <c r="M63" t="s">
        <v>300</v>
      </c>
    </row>
    <row r="64" spans="1:16" ht="30" x14ac:dyDescent="0.4">
      <c r="A64" s="85" t="s">
        <v>250</v>
      </c>
      <c r="B64" s="84"/>
      <c r="C64" s="84"/>
      <c r="D64" s="84"/>
      <c r="E64" s="84"/>
      <c r="F64" s="84"/>
      <c r="G64" s="84"/>
      <c r="H64" s="84"/>
      <c r="K64" s="102"/>
      <c r="M64" s="29" t="s">
        <v>303</v>
      </c>
    </row>
    <row r="65" spans="1:13" x14ac:dyDescent="0.25">
      <c r="A65" s="84"/>
      <c r="B65" s="84"/>
      <c r="C65" s="84"/>
      <c r="D65" s="84"/>
      <c r="E65" s="84"/>
      <c r="F65" s="84"/>
      <c r="G65" s="84"/>
      <c r="H65" s="84"/>
      <c r="K65" s="102"/>
      <c r="M65" t="s">
        <v>304</v>
      </c>
    </row>
    <row r="66" spans="1:13" ht="30" x14ac:dyDescent="0.4">
      <c r="A66" s="85" t="s">
        <v>226</v>
      </c>
      <c r="B66" s="84"/>
      <c r="C66" s="84"/>
      <c r="D66" s="84"/>
      <c r="E66" s="84"/>
      <c r="F66" s="84"/>
      <c r="G66" s="84"/>
      <c r="H66" s="84"/>
      <c r="K66" s="102"/>
    </row>
    <row r="67" spans="1:13" x14ac:dyDescent="0.25">
      <c r="A67" s="84"/>
      <c r="B67" s="84"/>
      <c r="C67" s="84"/>
      <c r="D67" s="84"/>
      <c r="E67" s="84"/>
      <c r="F67" s="84"/>
      <c r="G67" s="84"/>
      <c r="H67" s="84"/>
      <c r="K67" s="102"/>
      <c r="M67" s="29" t="s">
        <v>528</v>
      </c>
    </row>
    <row r="68" spans="1:13" ht="23.25" x14ac:dyDescent="0.35">
      <c r="A68" s="87" t="s">
        <v>227</v>
      </c>
      <c r="B68" s="84"/>
      <c r="C68" s="84"/>
      <c r="D68" s="84"/>
      <c r="E68" s="84"/>
      <c r="F68" s="84"/>
      <c r="G68" s="84"/>
      <c r="H68" s="84"/>
      <c r="K68" s="102"/>
    </row>
    <row r="69" spans="1:13" x14ac:dyDescent="0.25">
      <c r="A69" s="84"/>
      <c r="B69" s="84"/>
      <c r="C69" s="84"/>
      <c r="D69" s="84"/>
      <c r="E69" s="84"/>
      <c r="F69" s="84"/>
      <c r="G69" s="84"/>
      <c r="H69" s="84"/>
      <c r="K69" s="102"/>
    </row>
    <row r="70" spans="1:13" x14ac:dyDescent="0.25">
      <c r="A70" s="218" t="s">
        <v>228</v>
      </c>
      <c r="B70" s="218" t="s">
        <v>229</v>
      </c>
      <c r="C70" s="220" t="s">
        <v>230</v>
      </c>
      <c r="D70" s="221"/>
      <c r="E70" s="222"/>
      <c r="F70" s="88" t="s">
        <v>231</v>
      </c>
      <c r="G70" s="88" t="s">
        <v>232</v>
      </c>
      <c r="H70" s="84"/>
      <c r="K70" s="102"/>
    </row>
    <row r="71" spans="1:13" x14ac:dyDescent="0.25">
      <c r="A71" s="219"/>
      <c r="B71" s="219"/>
      <c r="C71" s="89" t="s">
        <v>233</v>
      </c>
      <c r="D71" s="89" t="s">
        <v>234</v>
      </c>
      <c r="E71" s="89" t="s">
        <v>235</v>
      </c>
      <c r="F71" s="90" t="s">
        <v>236</v>
      </c>
      <c r="G71" s="90" t="s">
        <v>237</v>
      </c>
      <c r="H71" s="84"/>
      <c r="K71" s="102"/>
    </row>
    <row r="72" spans="1:13" x14ac:dyDescent="0.25">
      <c r="A72" s="91" t="s">
        <v>238</v>
      </c>
      <c r="B72" s="223" t="s">
        <v>239</v>
      </c>
      <c r="C72" s="226">
        <v>3.0000000000000001E-3</v>
      </c>
      <c r="D72" s="226">
        <v>5.1999999999999998E-2</v>
      </c>
      <c r="E72" s="226">
        <v>0.30599999999999999</v>
      </c>
      <c r="F72" s="223">
        <v>0.06</v>
      </c>
      <c r="G72" s="223">
        <v>0.01</v>
      </c>
      <c r="H72" s="84"/>
      <c r="K72" s="102"/>
    </row>
    <row r="73" spans="1:13" x14ac:dyDescent="0.25">
      <c r="A73" s="92" t="s">
        <v>240</v>
      </c>
      <c r="B73" s="224"/>
      <c r="C73" s="227"/>
      <c r="D73" s="227"/>
      <c r="E73" s="227"/>
      <c r="F73" s="224"/>
      <c r="G73" s="224"/>
      <c r="H73" s="84"/>
      <c r="K73" s="102"/>
    </row>
    <row r="74" spans="1:13" ht="18" x14ac:dyDescent="0.25">
      <c r="A74" s="92" t="s">
        <v>241</v>
      </c>
      <c r="B74" s="224"/>
      <c r="C74" s="227"/>
      <c r="D74" s="227"/>
      <c r="E74" s="227"/>
      <c r="F74" s="224"/>
      <c r="G74" s="224"/>
      <c r="H74" s="84"/>
      <c r="K74" s="102"/>
    </row>
    <row r="75" spans="1:13" ht="18" x14ac:dyDescent="0.25">
      <c r="A75" s="92" t="s">
        <v>242</v>
      </c>
      <c r="B75" s="225"/>
      <c r="C75" s="228"/>
      <c r="D75" s="228"/>
      <c r="E75" s="228"/>
      <c r="F75" s="225"/>
      <c r="G75" s="225"/>
      <c r="H75" s="84"/>
      <c r="K75" s="102"/>
    </row>
    <row r="76" spans="1:13" ht="18" x14ac:dyDescent="0.25">
      <c r="A76" s="92" t="s">
        <v>251</v>
      </c>
      <c r="B76" s="93" t="s">
        <v>244</v>
      </c>
      <c r="C76" s="93" t="s">
        <v>252</v>
      </c>
      <c r="D76" s="93" t="s">
        <v>253</v>
      </c>
      <c r="E76" s="93" t="s">
        <v>254</v>
      </c>
      <c r="F76" s="93">
        <v>0.06</v>
      </c>
      <c r="G76" s="93">
        <v>0.01</v>
      </c>
      <c r="H76" s="84"/>
      <c r="K76" s="102"/>
    </row>
    <row r="77" spans="1:13" x14ac:dyDescent="0.25">
      <c r="A77" s="94" t="s">
        <v>248</v>
      </c>
      <c r="B77" s="93" t="s">
        <v>249</v>
      </c>
      <c r="C77" s="93">
        <v>1</v>
      </c>
      <c r="D77" s="93">
        <v>1</v>
      </c>
      <c r="E77" s="93">
        <v>1</v>
      </c>
      <c r="F77" s="93">
        <v>1</v>
      </c>
      <c r="G77" s="93">
        <v>1</v>
      </c>
      <c r="H77" s="84"/>
      <c r="K77" s="102"/>
    </row>
    <row r="78" spans="1:13" x14ac:dyDescent="0.25">
      <c r="A78" s="84"/>
      <c r="B78" s="84"/>
      <c r="C78" s="84"/>
      <c r="D78" s="84"/>
      <c r="E78" s="84"/>
      <c r="F78" s="84"/>
      <c r="G78" s="84"/>
      <c r="H78" s="84"/>
      <c r="K78" s="102"/>
    </row>
    <row r="79" spans="1:13" x14ac:dyDescent="0.25">
      <c r="A79" s="84"/>
      <c r="B79" s="84"/>
      <c r="C79" s="84"/>
      <c r="D79" s="84"/>
      <c r="E79" s="84"/>
      <c r="F79" s="84"/>
      <c r="G79" s="84"/>
      <c r="H79" s="84"/>
      <c r="K79" s="102"/>
    </row>
    <row r="80" spans="1:13" x14ac:dyDescent="0.25">
      <c r="A80" s="84"/>
      <c r="B80" s="84"/>
      <c r="C80" s="84"/>
      <c r="D80" s="84"/>
      <c r="E80" s="84"/>
      <c r="F80" s="84"/>
      <c r="G80" s="84"/>
      <c r="H80" s="84"/>
      <c r="K80" s="102"/>
    </row>
    <row r="81" spans="1:11" ht="30" x14ac:dyDescent="0.4">
      <c r="A81" s="85" t="s">
        <v>255</v>
      </c>
      <c r="B81" s="84"/>
      <c r="C81" s="84"/>
      <c r="D81" s="84"/>
      <c r="E81" s="84"/>
      <c r="F81" s="84"/>
      <c r="G81" s="84"/>
      <c r="H81" s="84"/>
      <c r="K81" s="102"/>
    </row>
    <row r="82" spans="1:11" x14ac:dyDescent="0.25">
      <c r="A82" s="84"/>
      <c r="B82" s="84"/>
      <c r="C82" s="84"/>
      <c r="D82" s="84"/>
      <c r="E82" s="84"/>
      <c r="F82" s="84"/>
      <c r="G82" s="84"/>
      <c r="H82" s="84"/>
      <c r="K82" s="102"/>
    </row>
    <row r="83" spans="1:11" ht="30" x14ac:dyDescent="0.4">
      <c r="A83" s="85" t="s">
        <v>226</v>
      </c>
      <c r="B83" s="84"/>
      <c r="C83" s="84"/>
      <c r="D83" s="84"/>
      <c r="E83" s="84"/>
      <c r="F83" s="84"/>
      <c r="G83" s="84"/>
      <c r="H83" s="84"/>
      <c r="K83" s="102"/>
    </row>
    <row r="84" spans="1:11" x14ac:dyDescent="0.25">
      <c r="A84" s="84"/>
      <c r="B84" s="84"/>
      <c r="C84" s="84"/>
      <c r="D84" s="84"/>
      <c r="E84" s="84"/>
      <c r="F84" s="84"/>
      <c r="G84" s="84"/>
      <c r="H84" s="84"/>
      <c r="K84" s="102"/>
    </row>
    <row r="85" spans="1:11" ht="23.25" x14ac:dyDescent="0.35">
      <c r="A85" s="87" t="s">
        <v>227</v>
      </c>
      <c r="B85" s="84"/>
      <c r="C85" s="84"/>
      <c r="D85" s="84"/>
      <c r="E85" s="84"/>
      <c r="F85" s="84"/>
      <c r="G85" s="84"/>
      <c r="H85" s="84"/>
      <c r="K85" s="102"/>
    </row>
    <row r="86" spans="1:11" x14ac:dyDescent="0.25">
      <c r="A86" s="84"/>
      <c r="B86" s="84"/>
      <c r="C86" s="84"/>
      <c r="D86" s="84"/>
      <c r="E86" s="84"/>
      <c r="F86" s="84"/>
      <c r="G86" s="84"/>
      <c r="H86" s="84"/>
      <c r="K86" s="102"/>
    </row>
    <row r="87" spans="1:11" x14ac:dyDescent="0.25">
      <c r="A87" s="218" t="s">
        <v>228</v>
      </c>
      <c r="B87" s="218" t="s">
        <v>229</v>
      </c>
      <c r="C87" s="220" t="s">
        <v>230</v>
      </c>
      <c r="D87" s="221"/>
      <c r="E87" s="222"/>
      <c r="F87" s="88" t="s">
        <v>231</v>
      </c>
      <c r="G87" s="88" t="s">
        <v>232</v>
      </c>
      <c r="H87" s="84"/>
      <c r="K87" s="102"/>
    </row>
    <row r="88" spans="1:11" x14ac:dyDescent="0.25">
      <c r="A88" s="219"/>
      <c r="B88" s="219"/>
      <c r="C88" s="89" t="s">
        <v>233</v>
      </c>
      <c r="D88" s="89" t="s">
        <v>234</v>
      </c>
      <c r="E88" s="89" t="s">
        <v>235</v>
      </c>
      <c r="F88" s="90" t="s">
        <v>236</v>
      </c>
      <c r="G88" s="90" t="s">
        <v>237</v>
      </c>
      <c r="H88" s="84"/>
      <c r="K88" s="102"/>
    </row>
    <row r="89" spans="1:11" x14ac:dyDescent="0.25">
      <c r="A89" s="91" t="s">
        <v>238</v>
      </c>
      <c r="B89" s="223" t="s">
        <v>239</v>
      </c>
      <c r="C89" s="226">
        <v>1.4E-2</v>
      </c>
      <c r="D89" s="226">
        <v>5.6000000000000001E-2</v>
      </c>
      <c r="E89" s="226">
        <v>0.16200000000000001</v>
      </c>
      <c r="F89" s="223">
        <v>0.25</v>
      </c>
      <c r="G89" s="223">
        <v>0.09</v>
      </c>
      <c r="H89" s="84"/>
      <c r="K89" s="102"/>
    </row>
    <row r="90" spans="1:11" x14ac:dyDescent="0.25">
      <c r="A90" s="92" t="s">
        <v>240</v>
      </c>
      <c r="B90" s="224"/>
      <c r="C90" s="227"/>
      <c r="D90" s="227"/>
      <c r="E90" s="227"/>
      <c r="F90" s="224"/>
      <c r="G90" s="224"/>
      <c r="H90" s="84"/>
      <c r="K90" s="102"/>
    </row>
    <row r="91" spans="1:11" ht="18" x14ac:dyDescent="0.25">
      <c r="A91" s="92" t="s">
        <v>241</v>
      </c>
      <c r="B91" s="224"/>
      <c r="C91" s="227"/>
      <c r="D91" s="227"/>
      <c r="E91" s="227"/>
      <c r="F91" s="224"/>
      <c r="G91" s="224"/>
      <c r="H91" s="84"/>
      <c r="K91" s="102"/>
    </row>
    <row r="92" spans="1:11" ht="18" x14ac:dyDescent="0.25">
      <c r="A92" s="92" t="s">
        <v>242</v>
      </c>
      <c r="B92" s="225"/>
      <c r="C92" s="228"/>
      <c r="D92" s="228"/>
      <c r="E92" s="228"/>
      <c r="F92" s="225"/>
      <c r="G92" s="225"/>
      <c r="H92" s="84"/>
      <c r="K92" s="102"/>
    </row>
    <row r="93" spans="1:11" x14ac:dyDescent="0.25">
      <c r="A93" s="92" t="s">
        <v>256</v>
      </c>
      <c r="B93" s="93" t="s">
        <v>244</v>
      </c>
      <c r="C93" s="93" t="s">
        <v>257</v>
      </c>
      <c r="D93" s="93" t="s">
        <v>258</v>
      </c>
      <c r="E93" s="93" t="s">
        <v>259</v>
      </c>
      <c r="F93" s="93">
        <v>0.25</v>
      </c>
      <c r="G93" s="93">
        <v>0.09</v>
      </c>
      <c r="H93" s="84"/>
      <c r="K93" s="102"/>
    </row>
    <row r="94" spans="1:11" x14ac:dyDescent="0.25">
      <c r="A94" s="94" t="s">
        <v>248</v>
      </c>
      <c r="B94" s="93" t="s">
        <v>249</v>
      </c>
      <c r="C94" s="93">
        <v>1</v>
      </c>
      <c r="D94" s="93">
        <v>1</v>
      </c>
      <c r="E94" s="93">
        <v>1</v>
      </c>
      <c r="F94" s="93">
        <v>1</v>
      </c>
      <c r="G94" s="93">
        <v>1</v>
      </c>
      <c r="H94" s="84"/>
      <c r="K94" s="102"/>
    </row>
    <row r="95" spans="1:11" x14ac:dyDescent="0.25">
      <c r="A95" s="84"/>
      <c r="B95" s="84"/>
      <c r="C95" s="84"/>
      <c r="D95" s="84"/>
      <c r="E95" s="84"/>
      <c r="F95" s="84"/>
      <c r="G95" s="84"/>
      <c r="H95" s="84"/>
      <c r="K95" s="102"/>
    </row>
    <row r="96" spans="1:11" x14ac:dyDescent="0.25">
      <c r="A96" s="84"/>
      <c r="B96" s="84"/>
      <c r="C96" s="84"/>
      <c r="D96" s="84"/>
      <c r="E96" s="84"/>
      <c r="F96" s="84"/>
      <c r="G96" s="84"/>
      <c r="H96" s="84"/>
      <c r="K96" s="102"/>
    </row>
    <row r="97" spans="1:11" x14ac:dyDescent="0.25">
      <c r="A97" s="84"/>
      <c r="B97" s="84"/>
      <c r="C97" s="84"/>
      <c r="D97" s="84"/>
      <c r="E97" s="84"/>
      <c r="F97" s="84"/>
      <c r="G97" s="84"/>
      <c r="H97" s="84"/>
      <c r="K97" s="102"/>
    </row>
    <row r="98" spans="1:11" ht="30" x14ac:dyDescent="0.4">
      <c r="A98" s="85" t="s">
        <v>260</v>
      </c>
      <c r="B98" s="84"/>
      <c r="C98" s="84"/>
      <c r="D98" s="84"/>
      <c r="E98" s="84"/>
      <c r="F98" s="84"/>
      <c r="G98" s="84"/>
      <c r="H98" s="84"/>
      <c r="K98" s="102"/>
    </row>
    <row r="99" spans="1:11" x14ac:dyDescent="0.25">
      <c r="A99" s="84"/>
      <c r="B99" s="84"/>
      <c r="C99" s="84"/>
      <c r="D99" s="84"/>
      <c r="E99" s="84"/>
      <c r="F99" s="84"/>
      <c r="G99" s="84"/>
      <c r="H99" s="84"/>
      <c r="K99" s="102"/>
    </row>
    <row r="100" spans="1:11" ht="30" x14ac:dyDescent="0.4">
      <c r="A100" s="85" t="s">
        <v>226</v>
      </c>
      <c r="B100" s="84"/>
      <c r="C100" s="84"/>
      <c r="D100" s="84"/>
      <c r="E100" s="84"/>
      <c r="F100" s="84"/>
      <c r="G100" s="84"/>
      <c r="H100" s="84"/>
      <c r="K100" s="102"/>
    </row>
    <row r="101" spans="1:11" x14ac:dyDescent="0.25">
      <c r="A101" s="84"/>
      <c r="B101" s="84"/>
      <c r="C101" s="84"/>
      <c r="D101" s="84"/>
      <c r="E101" s="84"/>
      <c r="F101" s="84"/>
      <c r="G101" s="84"/>
      <c r="H101" s="84"/>
      <c r="K101" s="102"/>
    </row>
    <row r="102" spans="1:11" ht="23.25" x14ac:dyDescent="0.35">
      <c r="A102" s="87" t="s">
        <v>227</v>
      </c>
      <c r="B102" s="84"/>
      <c r="C102" s="84"/>
      <c r="D102" s="84"/>
      <c r="E102" s="84"/>
      <c r="F102" s="84"/>
      <c r="G102" s="84"/>
      <c r="H102" s="84"/>
      <c r="K102" s="102"/>
    </row>
    <row r="103" spans="1:11" x14ac:dyDescent="0.25">
      <c r="A103" s="84"/>
      <c r="B103" s="84"/>
      <c r="C103" s="84"/>
      <c r="D103" s="84"/>
      <c r="E103" s="84"/>
      <c r="F103" s="84"/>
      <c r="G103" s="84"/>
      <c r="H103" s="84"/>
      <c r="K103" s="102"/>
    </row>
    <row r="104" spans="1:11" x14ac:dyDescent="0.25">
      <c r="A104" s="218" t="s">
        <v>228</v>
      </c>
      <c r="B104" s="218" t="s">
        <v>229</v>
      </c>
      <c r="C104" s="220" t="s">
        <v>230</v>
      </c>
      <c r="D104" s="221"/>
      <c r="E104" s="222"/>
      <c r="F104" s="88" t="s">
        <v>231</v>
      </c>
      <c r="G104" s="88" t="s">
        <v>232</v>
      </c>
      <c r="H104" s="84"/>
      <c r="K104" s="102"/>
    </row>
    <row r="105" spans="1:11" x14ac:dyDescent="0.25">
      <c r="A105" s="219"/>
      <c r="B105" s="219"/>
      <c r="C105" s="89" t="s">
        <v>233</v>
      </c>
      <c r="D105" s="89" t="s">
        <v>234</v>
      </c>
      <c r="E105" s="89" t="s">
        <v>235</v>
      </c>
      <c r="F105" s="90" t="s">
        <v>236</v>
      </c>
      <c r="G105" s="90" t="s">
        <v>237</v>
      </c>
      <c r="H105" s="84"/>
      <c r="K105" s="102"/>
    </row>
    <row r="106" spans="1:11" x14ac:dyDescent="0.25">
      <c r="A106" s="91" t="s">
        <v>238</v>
      </c>
      <c r="B106" s="223" t="s">
        <v>239</v>
      </c>
      <c r="C106" s="226">
        <v>3.0000000000000001E-3</v>
      </c>
      <c r="D106" s="226">
        <v>1.9E-2</v>
      </c>
      <c r="E106" s="226">
        <v>0.14899999999999999</v>
      </c>
      <c r="F106" s="223">
        <v>0.15</v>
      </c>
      <c r="G106" s="223">
        <v>0.02</v>
      </c>
      <c r="H106" s="84"/>
      <c r="K106" s="102"/>
    </row>
    <row r="107" spans="1:11" x14ac:dyDescent="0.25">
      <c r="A107" s="92" t="s">
        <v>240</v>
      </c>
      <c r="B107" s="224"/>
      <c r="C107" s="227"/>
      <c r="D107" s="227"/>
      <c r="E107" s="227"/>
      <c r="F107" s="224"/>
      <c r="G107" s="224"/>
      <c r="H107" s="84"/>
      <c r="K107" s="102"/>
    </row>
    <row r="108" spans="1:11" ht="18" x14ac:dyDescent="0.25">
      <c r="A108" s="92" t="s">
        <v>241</v>
      </c>
      <c r="B108" s="224"/>
      <c r="C108" s="227"/>
      <c r="D108" s="227"/>
      <c r="E108" s="227"/>
      <c r="F108" s="224"/>
      <c r="G108" s="224"/>
      <c r="H108" s="84"/>
      <c r="K108" s="102"/>
    </row>
    <row r="109" spans="1:11" ht="18" x14ac:dyDescent="0.25">
      <c r="A109" s="92" t="s">
        <v>242</v>
      </c>
      <c r="B109" s="225"/>
      <c r="C109" s="228"/>
      <c r="D109" s="228"/>
      <c r="E109" s="228"/>
      <c r="F109" s="225"/>
      <c r="G109" s="225"/>
      <c r="H109" s="84"/>
      <c r="K109" s="102"/>
    </row>
    <row r="110" spans="1:11" x14ac:dyDescent="0.25">
      <c r="A110" s="92" t="s">
        <v>261</v>
      </c>
      <c r="B110" s="93" t="s">
        <v>244</v>
      </c>
      <c r="C110" s="93" t="s">
        <v>262</v>
      </c>
      <c r="D110" s="93" t="s">
        <v>263</v>
      </c>
      <c r="E110" s="93" t="s">
        <v>264</v>
      </c>
      <c r="F110" s="93">
        <v>0.15</v>
      </c>
      <c r="G110" s="93">
        <v>0.02</v>
      </c>
      <c r="H110" s="84"/>
      <c r="K110" s="102"/>
    </row>
    <row r="111" spans="1:11" x14ac:dyDescent="0.25">
      <c r="A111" s="94" t="s">
        <v>248</v>
      </c>
      <c r="B111" s="93" t="s">
        <v>249</v>
      </c>
      <c r="C111" s="93">
        <v>1</v>
      </c>
      <c r="D111" s="93">
        <v>1</v>
      </c>
      <c r="E111" s="93">
        <v>1</v>
      </c>
      <c r="F111" s="93">
        <v>1</v>
      </c>
      <c r="G111" s="93">
        <v>1</v>
      </c>
      <c r="H111" s="84"/>
      <c r="K111" s="102"/>
    </row>
    <row r="112" spans="1:11" x14ac:dyDescent="0.25">
      <c r="A112" s="84"/>
      <c r="B112" s="84"/>
      <c r="C112" s="84"/>
      <c r="D112" s="84"/>
      <c r="E112" s="84"/>
      <c r="F112" s="84"/>
      <c r="G112" s="84"/>
      <c r="H112" s="84"/>
      <c r="K112" s="102"/>
    </row>
    <row r="113" spans="1:11" x14ac:dyDescent="0.25">
      <c r="A113" s="84"/>
      <c r="B113" s="84"/>
      <c r="C113" s="84"/>
      <c r="D113" s="84"/>
      <c r="E113" s="84"/>
      <c r="F113" s="84"/>
      <c r="G113" s="84"/>
      <c r="H113" s="84"/>
      <c r="K113" s="102"/>
    </row>
    <row r="114" spans="1:11" x14ac:dyDescent="0.25">
      <c r="A114" s="84"/>
      <c r="B114" s="84"/>
      <c r="C114" s="84"/>
      <c r="D114" s="84"/>
      <c r="E114" s="84"/>
      <c r="F114" s="84"/>
      <c r="G114" s="84"/>
      <c r="H114" s="84"/>
      <c r="K114" s="102"/>
    </row>
    <row r="115" spans="1:11" ht="30" x14ac:dyDescent="0.4">
      <c r="A115" s="85" t="s">
        <v>265</v>
      </c>
      <c r="B115" s="84"/>
      <c r="C115" s="84"/>
      <c r="D115" s="84"/>
      <c r="E115" s="84"/>
      <c r="F115" s="84"/>
      <c r="G115" s="84"/>
      <c r="H115" s="84"/>
      <c r="K115" s="102"/>
    </row>
    <row r="116" spans="1:11" x14ac:dyDescent="0.25">
      <c r="A116" s="84"/>
      <c r="B116" s="84"/>
      <c r="C116" s="84"/>
      <c r="D116" s="84"/>
      <c r="E116" s="84"/>
      <c r="F116" s="84"/>
      <c r="G116" s="84"/>
      <c r="H116" s="84"/>
      <c r="K116" s="102"/>
    </row>
    <row r="117" spans="1:11" ht="30" x14ac:dyDescent="0.4">
      <c r="A117" s="85" t="s">
        <v>226</v>
      </c>
      <c r="B117" s="84"/>
      <c r="C117" s="84"/>
      <c r="D117" s="84"/>
      <c r="E117" s="84"/>
      <c r="F117" s="84"/>
      <c r="G117" s="84"/>
      <c r="H117" s="84"/>
      <c r="K117" s="102"/>
    </row>
    <row r="118" spans="1:11" x14ac:dyDescent="0.25">
      <c r="A118" s="84"/>
      <c r="B118" s="84"/>
      <c r="C118" s="84"/>
      <c r="D118" s="84"/>
      <c r="E118" s="84"/>
      <c r="F118" s="84"/>
      <c r="G118" s="84"/>
      <c r="H118" s="84"/>
      <c r="K118" s="102"/>
    </row>
    <row r="119" spans="1:11" ht="23.25" x14ac:dyDescent="0.35">
      <c r="A119" s="87" t="s">
        <v>227</v>
      </c>
      <c r="B119" s="84"/>
      <c r="C119" s="84"/>
      <c r="D119" s="84"/>
      <c r="E119" s="84"/>
      <c r="F119" s="84"/>
      <c r="G119" s="84"/>
      <c r="H119" s="84"/>
      <c r="K119" s="102"/>
    </row>
    <row r="120" spans="1:11" x14ac:dyDescent="0.25">
      <c r="A120" s="84"/>
      <c r="B120" s="84"/>
      <c r="C120" s="84"/>
      <c r="D120" s="84"/>
      <c r="E120" s="84"/>
      <c r="F120" s="84"/>
      <c r="G120" s="84"/>
      <c r="H120" s="84"/>
      <c r="K120" s="102"/>
    </row>
    <row r="121" spans="1:11" x14ac:dyDescent="0.25">
      <c r="A121" s="218" t="s">
        <v>228</v>
      </c>
      <c r="B121" s="218" t="s">
        <v>229</v>
      </c>
      <c r="C121" s="220" t="s">
        <v>230</v>
      </c>
      <c r="D121" s="221"/>
      <c r="E121" s="222"/>
      <c r="F121" s="88" t="s">
        <v>231</v>
      </c>
      <c r="G121" s="88" t="s">
        <v>232</v>
      </c>
      <c r="H121" s="84"/>
      <c r="K121" s="102"/>
    </row>
    <row r="122" spans="1:11" x14ac:dyDescent="0.25">
      <c r="A122" s="219"/>
      <c r="B122" s="219"/>
      <c r="C122" s="89" t="s">
        <v>233</v>
      </c>
      <c r="D122" s="89" t="s">
        <v>234</v>
      </c>
      <c r="E122" s="89" t="s">
        <v>235</v>
      </c>
      <c r="F122" s="90" t="s">
        <v>236</v>
      </c>
      <c r="G122" s="90" t="s">
        <v>237</v>
      </c>
      <c r="H122" s="84"/>
      <c r="K122" s="102"/>
    </row>
    <row r="123" spans="1:11" x14ac:dyDescent="0.25">
      <c r="A123" s="91" t="s">
        <v>238</v>
      </c>
      <c r="B123" s="223" t="s">
        <v>239</v>
      </c>
      <c r="C123" s="226">
        <v>0</v>
      </c>
      <c r="D123" s="226">
        <v>2.1000000000000001E-2</v>
      </c>
      <c r="E123" s="226">
        <v>0.13</v>
      </c>
      <c r="F123" s="223">
        <v>0.02</v>
      </c>
      <c r="G123" s="223">
        <v>0</v>
      </c>
      <c r="H123" s="84"/>
      <c r="K123" s="102"/>
    </row>
    <row r="124" spans="1:11" x14ac:dyDescent="0.25">
      <c r="A124" s="92" t="s">
        <v>240</v>
      </c>
      <c r="B124" s="224"/>
      <c r="C124" s="227"/>
      <c r="D124" s="227"/>
      <c r="E124" s="227"/>
      <c r="F124" s="224"/>
      <c r="G124" s="224"/>
      <c r="H124" s="84"/>
      <c r="K124" s="102"/>
    </row>
    <row r="125" spans="1:11" ht="18" x14ac:dyDescent="0.25">
      <c r="A125" s="92" t="s">
        <v>241</v>
      </c>
      <c r="B125" s="224"/>
      <c r="C125" s="227"/>
      <c r="D125" s="227"/>
      <c r="E125" s="227"/>
      <c r="F125" s="224"/>
      <c r="G125" s="224"/>
      <c r="H125" s="84"/>
      <c r="K125" s="102"/>
    </row>
    <row r="126" spans="1:11" ht="18" x14ac:dyDescent="0.25">
      <c r="A126" s="92" t="s">
        <v>242</v>
      </c>
      <c r="B126" s="225"/>
      <c r="C126" s="228"/>
      <c r="D126" s="228"/>
      <c r="E126" s="228"/>
      <c r="F126" s="225"/>
      <c r="G126" s="225"/>
      <c r="H126" s="84"/>
      <c r="K126" s="102"/>
    </row>
    <row r="127" spans="1:11" x14ac:dyDescent="0.25">
      <c r="A127" s="92" t="s">
        <v>266</v>
      </c>
      <c r="B127" s="93" t="s">
        <v>244</v>
      </c>
      <c r="C127" s="93" t="s">
        <v>267</v>
      </c>
      <c r="D127" s="93" t="s">
        <v>268</v>
      </c>
      <c r="E127" s="93" t="s">
        <v>269</v>
      </c>
      <c r="F127" s="93">
        <v>0.02</v>
      </c>
      <c r="G127" s="93">
        <v>0</v>
      </c>
      <c r="H127" s="84"/>
      <c r="K127" s="102"/>
    </row>
    <row r="128" spans="1:11" x14ac:dyDescent="0.25">
      <c r="A128" s="94" t="s">
        <v>248</v>
      </c>
      <c r="B128" s="93" t="s">
        <v>249</v>
      </c>
      <c r="C128" s="93">
        <v>1</v>
      </c>
      <c r="D128" s="93">
        <v>1</v>
      </c>
      <c r="E128" s="93">
        <v>1</v>
      </c>
      <c r="F128" s="93">
        <v>1</v>
      </c>
      <c r="G128" s="93">
        <v>1</v>
      </c>
      <c r="H128" s="84"/>
      <c r="K128" s="102"/>
    </row>
    <row r="129" spans="1:11" x14ac:dyDescent="0.25">
      <c r="A129" s="84"/>
      <c r="B129" s="84"/>
      <c r="C129" s="84"/>
      <c r="D129" s="84"/>
      <c r="E129" s="84"/>
      <c r="F129" s="84"/>
      <c r="G129" s="84"/>
      <c r="H129" s="84"/>
      <c r="K129" s="102"/>
    </row>
    <row r="130" spans="1:11" x14ac:dyDescent="0.25">
      <c r="A130" s="84"/>
      <c r="B130" s="84"/>
      <c r="C130" s="84"/>
      <c r="D130" s="84"/>
      <c r="E130" s="84"/>
      <c r="F130" s="84"/>
      <c r="G130" s="84"/>
      <c r="H130" s="84"/>
      <c r="K130" s="102"/>
    </row>
    <row r="131" spans="1:11" x14ac:dyDescent="0.25">
      <c r="A131" s="84"/>
      <c r="B131" s="84"/>
      <c r="C131" s="84"/>
      <c r="D131" s="84"/>
      <c r="E131" s="84"/>
      <c r="F131" s="84"/>
      <c r="G131" s="84"/>
      <c r="H131" s="84"/>
      <c r="K131" s="102"/>
    </row>
    <row r="132" spans="1:11" ht="30" x14ac:dyDescent="0.4">
      <c r="A132" s="85" t="s">
        <v>270</v>
      </c>
      <c r="B132" s="84"/>
      <c r="C132" s="84"/>
      <c r="D132" s="84"/>
      <c r="E132" s="84"/>
      <c r="F132" s="84"/>
      <c r="G132" s="84"/>
      <c r="H132" s="84"/>
      <c r="K132" s="102"/>
    </row>
    <row r="133" spans="1:11" x14ac:dyDescent="0.25">
      <c r="A133" s="84"/>
      <c r="B133" s="84"/>
      <c r="C133" s="84"/>
      <c r="D133" s="84"/>
      <c r="E133" s="84"/>
      <c r="F133" s="84"/>
      <c r="G133" s="84"/>
      <c r="H133" s="84"/>
      <c r="K133" s="102"/>
    </row>
    <row r="134" spans="1:11" ht="30" x14ac:dyDescent="0.4">
      <c r="A134" s="85" t="s">
        <v>226</v>
      </c>
      <c r="B134" s="84"/>
      <c r="C134" s="84"/>
      <c r="D134" s="84"/>
      <c r="E134" s="84"/>
      <c r="F134" s="84"/>
      <c r="G134" s="84"/>
      <c r="H134" s="84"/>
      <c r="K134" s="102"/>
    </row>
    <row r="135" spans="1:11" x14ac:dyDescent="0.25">
      <c r="A135" s="84"/>
      <c r="B135" s="84"/>
      <c r="C135" s="84"/>
      <c r="D135" s="84"/>
      <c r="E135" s="84"/>
      <c r="F135" s="84"/>
      <c r="G135" s="84"/>
      <c r="H135" s="84"/>
      <c r="K135" s="102"/>
    </row>
    <row r="136" spans="1:11" ht="23.25" x14ac:dyDescent="0.35">
      <c r="A136" s="87" t="s">
        <v>227</v>
      </c>
      <c r="B136" s="84"/>
      <c r="C136" s="84"/>
      <c r="D136" s="84"/>
      <c r="E136" s="84"/>
      <c r="F136" s="84"/>
      <c r="G136" s="84"/>
      <c r="H136" s="84"/>
      <c r="K136" s="102"/>
    </row>
    <row r="137" spans="1:11" x14ac:dyDescent="0.25">
      <c r="A137" s="84"/>
      <c r="B137" s="84"/>
      <c r="C137" s="84"/>
      <c r="D137" s="84"/>
      <c r="E137" s="84"/>
      <c r="F137" s="84"/>
      <c r="G137" s="84"/>
      <c r="H137" s="84"/>
      <c r="K137" s="102"/>
    </row>
    <row r="138" spans="1:11" x14ac:dyDescent="0.25">
      <c r="A138" s="218" t="s">
        <v>228</v>
      </c>
      <c r="B138" s="218" t="s">
        <v>229</v>
      </c>
      <c r="C138" s="220" t="s">
        <v>230</v>
      </c>
      <c r="D138" s="221"/>
      <c r="E138" s="222"/>
      <c r="F138" s="88" t="s">
        <v>231</v>
      </c>
      <c r="G138" s="88" t="s">
        <v>232</v>
      </c>
      <c r="H138" s="84"/>
      <c r="K138" s="102"/>
    </row>
    <row r="139" spans="1:11" x14ac:dyDescent="0.25">
      <c r="A139" s="219"/>
      <c r="B139" s="219"/>
      <c r="C139" s="89" t="s">
        <v>233</v>
      </c>
      <c r="D139" s="89" t="s">
        <v>234</v>
      </c>
      <c r="E139" s="89" t="s">
        <v>235</v>
      </c>
      <c r="F139" s="90" t="s">
        <v>236</v>
      </c>
      <c r="G139" s="90" t="s">
        <v>237</v>
      </c>
      <c r="H139" s="84"/>
      <c r="K139" s="102"/>
    </row>
    <row r="140" spans="1:11" x14ac:dyDescent="0.25">
      <c r="A140" s="91" t="s">
        <v>238</v>
      </c>
      <c r="B140" s="223" t="s">
        <v>239</v>
      </c>
      <c r="C140" s="226">
        <v>5.0000000000000001E-3</v>
      </c>
      <c r="D140" s="226">
        <v>2.5000000000000001E-2</v>
      </c>
      <c r="E140" s="226">
        <v>0.14000000000000001</v>
      </c>
      <c r="F140" s="223">
        <v>0.19</v>
      </c>
      <c r="G140" s="223">
        <v>0.03</v>
      </c>
      <c r="H140" s="84"/>
      <c r="K140" s="102"/>
    </row>
    <row r="141" spans="1:11" x14ac:dyDescent="0.25">
      <c r="A141" s="92" t="s">
        <v>240</v>
      </c>
      <c r="B141" s="224"/>
      <c r="C141" s="227"/>
      <c r="D141" s="227"/>
      <c r="E141" s="227"/>
      <c r="F141" s="224"/>
      <c r="G141" s="224"/>
      <c r="H141" s="84"/>
      <c r="K141" s="102"/>
    </row>
    <row r="142" spans="1:11" ht="18" x14ac:dyDescent="0.25">
      <c r="A142" s="92" t="s">
        <v>241</v>
      </c>
      <c r="B142" s="224"/>
      <c r="C142" s="227"/>
      <c r="D142" s="227"/>
      <c r="E142" s="227"/>
      <c r="F142" s="224"/>
      <c r="G142" s="224"/>
      <c r="H142" s="84"/>
      <c r="K142" s="102"/>
    </row>
    <row r="143" spans="1:11" ht="18" x14ac:dyDescent="0.25">
      <c r="A143" s="92" t="s">
        <v>242</v>
      </c>
      <c r="B143" s="225"/>
      <c r="C143" s="228"/>
      <c r="D143" s="228"/>
      <c r="E143" s="228"/>
      <c r="F143" s="225"/>
      <c r="G143" s="225"/>
      <c r="H143" s="84"/>
      <c r="K143" s="102"/>
    </row>
    <row r="144" spans="1:11" x14ac:dyDescent="0.25">
      <c r="A144" s="92" t="s">
        <v>271</v>
      </c>
      <c r="B144" s="93" t="s">
        <v>244</v>
      </c>
      <c r="C144" s="93" t="s">
        <v>272</v>
      </c>
      <c r="D144" s="93" t="s">
        <v>273</v>
      </c>
      <c r="E144" s="93" t="s">
        <v>274</v>
      </c>
      <c r="F144" s="93">
        <v>0.19</v>
      </c>
      <c r="G144" s="93">
        <v>0.03</v>
      </c>
      <c r="H144" s="84"/>
      <c r="K144" s="102"/>
    </row>
    <row r="145" spans="1:11" x14ac:dyDescent="0.25">
      <c r="A145" s="94" t="s">
        <v>248</v>
      </c>
      <c r="B145" s="93" t="s">
        <v>249</v>
      </c>
      <c r="C145" s="93">
        <v>1</v>
      </c>
      <c r="D145" s="93">
        <v>1</v>
      </c>
      <c r="E145" s="93">
        <v>1</v>
      </c>
      <c r="F145" s="93">
        <v>1</v>
      </c>
      <c r="G145" s="93">
        <v>1</v>
      </c>
      <c r="H145" s="84"/>
      <c r="K145" s="102"/>
    </row>
    <row r="146" spans="1:11" x14ac:dyDescent="0.25">
      <c r="A146" s="84"/>
      <c r="B146" s="84"/>
      <c r="C146" s="84"/>
      <c r="D146" s="84"/>
      <c r="E146" s="84"/>
      <c r="F146" s="84"/>
      <c r="G146" s="84"/>
      <c r="H146" s="84"/>
      <c r="K146" s="102"/>
    </row>
    <row r="147" spans="1:11" x14ac:dyDescent="0.25">
      <c r="A147" s="84"/>
      <c r="B147" s="84"/>
      <c r="C147" s="84"/>
      <c r="D147" s="84"/>
      <c r="E147" s="84"/>
      <c r="F147" s="84"/>
      <c r="G147" s="84"/>
      <c r="H147" s="84"/>
      <c r="K147" s="102"/>
    </row>
    <row r="148" spans="1:11" x14ac:dyDescent="0.25">
      <c r="A148" s="84"/>
      <c r="B148" s="84"/>
      <c r="C148" s="84"/>
      <c r="D148" s="84"/>
      <c r="E148" s="84"/>
      <c r="F148" s="84"/>
      <c r="G148" s="84"/>
      <c r="H148" s="84"/>
      <c r="K148" s="102"/>
    </row>
    <row r="149" spans="1:11" ht="30" x14ac:dyDescent="0.4">
      <c r="A149" s="85" t="s">
        <v>275</v>
      </c>
      <c r="B149" s="84"/>
      <c r="C149" s="84"/>
      <c r="D149" s="84"/>
      <c r="E149" s="84"/>
      <c r="F149" s="84"/>
      <c r="G149" s="84"/>
      <c r="H149" s="84"/>
      <c r="K149" s="102"/>
    </row>
    <row r="150" spans="1:11" x14ac:dyDescent="0.25">
      <c r="A150" s="84"/>
      <c r="B150" s="84"/>
      <c r="C150" s="84"/>
      <c r="D150" s="84"/>
      <c r="E150" s="84"/>
      <c r="F150" s="84"/>
      <c r="G150" s="84"/>
      <c r="H150" s="84"/>
      <c r="K150" s="102"/>
    </row>
    <row r="151" spans="1:11" ht="30" x14ac:dyDescent="0.4">
      <c r="A151" s="85" t="s">
        <v>226</v>
      </c>
      <c r="B151" s="84"/>
      <c r="C151" s="84"/>
      <c r="D151" s="84"/>
      <c r="E151" s="84"/>
      <c r="F151" s="84"/>
      <c r="G151" s="84"/>
      <c r="H151" s="84"/>
      <c r="K151" s="102"/>
    </row>
    <row r="152" spans="1:11" x14ac:dyDescent="0.25">
      <c r="A152" s="84"/>
      <c r="B152" s="84"/>
      <c r="C152" s="84"/>
      <c r="D152" s="84"/>
      <c r="E152" s="84"/>
      <c r="F152" s="84"/>
      <c r="G152" s="84"/>
      <c r="H152" s="84"/>
      <c r="K152" s="102"/>
    </row>
    <row r="153" spans="1:11" ht="23.25" x14ac:dyDescent="0.35">
      <c r="A153" s="87" t="s">
        <v>227</v>
      </c>
      <c r="B153" s="84"/>
      <c r="C153" s="84"/>
      <c r="D153" s="84"/>
      <c r="E153" s="84"/>
      <c r="F153" s="84"/>
      <c r="G153" s="84"/>
      <c r="H153" s="84"/>
      <c r="K153" s="102"/>
    </row>
    <row r="154" spans="1:11" x14ac:dyDescent="0.25">
      <c r="A154" s="84"/>
      <c r="B154" s="84"/>
      <c r="C154" s="84"/>
      <c r="D154" s="84"/>
      <c r="E154" s="84"/>
      <c r="F154" s="84"/>
      <c r="G154" s="84"/>
      <c r="H154" s="84"/>
      <c r="K154" s="102"/>
    </row>
    <row r="155" spans="1:11" x14ac:dyDescent="0.25">
      <c r="A155" s="218" t="s">
        <v>228</v>
      </c>
      <c r="B155" s="218" t="s">
        <v>229</v>
      </c>
      <c r="C155" s="220" t="s">
        <v>230</v>
      </c>
      <c r="D155" s="221"/>
      <c r="E155" s="222"/>
      <c r="F155" s="88" t="s">
        <v>231</v>
      </c>
      <c r="G155" s="88" t="s">
        <v>232</v>
      </c>
      <c r="H155" s="84"/>
      <c r="K155" s="102"/>
    </row>
    <row r="156" spans="1:11" x14ac:dyDescent="0.25">
      <c r="A156" s="219"/>
      <c r="B156" s="219"/>
      <c r="C156" s="89" t="s">
        <v>233</v>
      </c>
      <c r="D156" s="89" t="s">
        <v>234</v>
      </c>
      <c r="E156" s="89" t="s">
        <v>235</v>
      </c>
      <c r="F156" s="90" t="s">
        <v>236</v>
      </c>
      <c r="G156" s="90" t="s">
        <v>237</v>
      </c>
      <c r="H156" s="84"/>
      <c r="K156" s="102"/>
    </row>
    <row r="157" spans="1:11" x14ac:dyDescent="0.25">
      <c r="A157" s="91" t="s">
        <v>238</v>
      </c>
      <c r="B157" s="223" t="s">
        <v>239</v>
      </c>
      <c r="C157" s="226">
        <v>2E-3</v>
      </c>
      <c r="D157" s="226">
        <v>4.5999999999999999E-2</v>
      </c>
      <c r="E157" s="226">
        <v>0.21199999999999999</v>
      </c>
      <c r="F157" s="223">
        <v>0.04</v>
      </c>
      <c r="G157" s="223">
        <v>0.01</v>
      </c>
      <c r="H157" s="84"/>
      <c r="K157" s="102"/>
    </row>
    <row r="158" spans="1:11" x14ac:dyDescent="0.25">
      <c r="A158" s="92" t="s">
        <v>240</v>
      </c>
      <c r="B158" s="224"/>
      <c r="C158" s="227"/>
      <c r="D158" s="227"/>
      <c r="E158" s="227"/>
      <c r="F158" s="224"/>
      <c r="G158" s="224"/>
      <c r="H158" s="84"/>
      <c r="K158" s="102"/>
    </row>
    <row r="159" spans="1:11" ht="18" x14ac:dyDescent="0.25">
      <c r="A159" s="92" t="s">
        <v>241</v>
      </c>
      <c r="B159" s="224"/>
      <c r="C159" s="227"/>
      <c r="D159" s="227"/>
      <c r="E159" s="227"/>
      <c r="F159" s="224"/>
      <c r="G159" s="224"/>
      <c r="H159" s="84"/>
      <c r="K159" s="102"/>
    </row>
    <row r="160" spans="1:11" ht="18" x14ac:dyDescent="0.25">
      <c r="A160" s="92" t="s">
        <v>242</v>
      </c>
      <c r="B160" s="225"/>
      <c r="C160" s="228"/>
      <c r="D160" s="228"/>
      <c r="E160" s="228"/>
      <c r="F160" s="225"/>
      <c r="G160" s="225"/>
      <c r="H160" s="84"/>
      <c r="K160" s="102"/>
    </row>
    <row r="161" spans="1:11" x14ac:dyDescent="0.25">
      <c r="A161" s="92" t="s">
        <v>276</v>
      </c>
      <c r="B161" s="93" t="s">
        <v>244</v>
      </c>
      <c r="C161" s="93" t="s">
        <v>277</v>
      </c>
      <c r="D161" s="93" t="s">
        <v>278</v>
      </c>
      <c r="E161" s="93" t="s">
        <v>279</v>
      </c>
      <c r="F161" s="93">
        <v>0.04</v>
      </c>
      <c r="G161" s="93">
        <v>0.01</v>
      </c>
      <c r="H161" s="84"/>
      <c r="K161" s="102"/>
    </row>
    <row r="162" spans="1:11" x14ac:dyDescent="0.25">
      <c r="A162" s="94" t="s">
        <v>248</v>
      </c>
      <c r="B162" s="93" t="s">
        <v>249</v>
      </c>
      <c r="C162" s="93">
        <v>1</v>
      </c>
      <c r="D162" s="93">
        <v>1</v>
      </c>
      <c r="E162" s="93">
        <v>1</v>
      </c>
      <c r="F162" s="93">
        <v>1</v>
      </c>
      <c r="G162" s="93">
        <v>1</v>
      </c>
      <c r="H162" s="84"/>
      <c r="K162" s="102"/>
    </row>
    <row r="163" spans="1:11" x14ac:dyDescent="0.25">
      <c r="A163" s="84"/>
      <c r="B163" s="84"/>
      <c r="C163" s="84"/>
      <c r="D163" s="84"/>
      <c r="E163" s="84"/>
      <c r="F163" s="84"/>
      <c r="G163" s="84"/>
      <c r="H163" s="84"/>
      <c r="K163" s="102"/>
    </row>
    <row r="164" spans="1:11" x14ac:dyDescent="0.25">
      <c r="A164" s="84"/>
      <c r="B164" s="84"/>
      <c r="C164" s="84"/>
      <c r="D164" s="84"/>
      <c r="E164" s="84"/>
      <c r="F164" s="84"/>
      <c r="G164" s="84"/>
      <c r="H164" s="84"/>
      <c r="K164" s="102"/>
    </row>
    <row r="165" spans="1:11" x14ac:dyDescent="0.25">
      <c r="A165" s="84"/>
      <c r="B165" s="84"/>
      <c r="C165" s="84"/>
      <c r="D165" s="84"/>
      <c r="E165" s="84"/>
      <c r="F165" s="84"/>
      <c r="G165" s="84"/>
      <c r="H165" s="84"/>
      <c r="K165" s="102"/>
    </row>
    <row r="166" spans="1:11" ht="30" x14ac:dyDescent="0.4">
      <c r="A166" s="85" t="s">
        <v>280</v>
      </c>
      <c r="B166" s="84"/>
      <c r="C166" s="84"/>
      <c r="D166" s="84"/>
      <c r="E166" s="84"/>
      <c r="F166" s="84"/>
      <c r="G166" s="84"/>
      <c r="H166" s="84"/>
      <c r="K166" s="102"/>
    </row>
    <row r="167" spans="1:11" x14ac:dyDescent="0.25">
      <c r="A167" s="84"/>
      <c r="B167" s="84"/>
      <c r="C167" s="84"/>
      <c r="D167" s="84"/>
      <c r="E167" s="84"/>
      <c r="F167" s="84"/>
      <c r="G167" s="84"/>
      <c r="H167" s="84"/>
      <c r="K167" s="102"/>
    </row>
    <row r="168" spans="1:11" ht="30" x14ac:dyDescent="0.4">
      <c r="A168" s="85" t="s">
        <v>226</v>
      </c>
      <c r="B168" s="84"/>
      <c r="C168" s="84"/>
      <c r="D168" s="84"/>
      <c r="E168" s="84"/>
      <c r="F168" s="84"/>
      <c r="G168" s="84"/>
      <c r="H168" s="84"/>
      <c r="K168" s="102"/>
    </row>
    <row r="169" spans="1:11" x14ac:dyDescent="0.25">
      <c r="A169" s="84"/>
      <c r="B169" s="84"/>
      <c r="C169" s="84"/>
      <c r="D169" s="84"/>
      <c r="E169" s="84"/>
      <c r="F169" s="84"/>
      <c r="G169" s="84"/>
      <c r="H169" s="84"/>
      <c r="K169" s="102"/>
    </row>
    <row r="170" spans="1:11" ht="23.25" x14ac:dyDescent="0.35">
      <c r="A170" s="87" t="s">
        <v>227</v>
      </c>
      <c r="B170" s="84"/>
      <c r="C170" s="84"/>
      <c r="D170" s="84"/>
      <c r="E170" s="84"/>
      <c r="F170" s="84"/>
      <c r="G170" s="84"/>
      <c r="H170" s="84"/>
      <c r="K170" s="102"/>
    </row>
    <row r="171" spans="1:11" x14ac:dyDescent="0.25">
      <c r="A171" s="84"/>
      <c r="B171" s="84"/>
      <c r="C171" s="84"/>
      <c r="D171" s="84"/>
      <c r="E171" s="84"/>
      <c r="F171" s="84"/>
      <c r="G171" s="84"/>
      <c r="H171" s="84"/>
      <c r="K171" s="102"/>
    </row>
    <row r="172" spans="1:11" x14ac:dyDescent="0.25">
      <c r="A172" s="218" t="s">
        <v>228</v>
      </c>
      <c r="B172" s="218" t="s">
        <v>229</v>
      </c>
      <c r="C172" s="220" t="s">
        <v>230</v>
      </c>
      <c r="D172" s="221"/>
      <c r="E172" s="222"/>
      <c r="F172" s="88" t="s">
        <v>231</v>
      </c>
      <c r="G172" s="88" t="s">
        <v>232</v>
      </c>
      <c r="H172" s="84"/>
      <c r="K172" s="102"/>
    </row>
    <row r="173" spans="1:11" x14ac:dyDescent="0.25">
      <c r="A173" s="219"/>
      <c r="B173" s="219"/>
      <c r="C173" s="89" t="s">
        <v>233</v>
      </c>
      <c r="D173" s="89" t="s">
        <v>234</v>
      </c>
      <c r="E173" s="89" t="s">
        <v>235</v>
      </c>
      <c r="F173" s="90" t="s">
        <v>236</v>
      </c>
      <c r="G173" s="90" t="s">
        <v>237</v>
      </c>
      <c r="H173" s="84"/>
      <c r="K173" s="102"/>
    </row>
    <row r="174" spans="1:11" x14ac:dyDescent="0.25">
      <c r="A174" s="91" t="s">
        <v>238</v>
      </c>
      <c r="B174" s="223" t="s">
        <v>239</v>
      </c>
      <c r="C174" s="226">
        <v>1E-3</v>
      </c>
      <c r="D174" s="226">
        <v>4.1000000000000002E-2</v>
      </c>
      <c r="E174" s="226">
        <v>0.23799999999999999</v>
      </c>
      <c r="F174" s="223">
        <v>0.02</v>
      </c>
      <c r="G174" s="223">
        <v>0</v>
      </c>
      <c r="H174" s="84"/>
      <c r="K174" s="102"/>
    </row>
    <row r="175" spans="1:11" x14ac:dyDescent="0.25">
      <c r="A175" s="92" t="s">
        <v>240</v>
      </c>
      <c r="B175" s="224"/>
      <c r="C175" s="227"/>
      <c r="D175" s="227"/>
      <c r="E175" s="227"/>
      <c r="F175" s="224"/>
      <c r="G175" s="224"/>
      <c r="H175" s="84"/>
      <c r="K175" s="102"/>
    </row>
    <row r="176" spans="1:11" ht="18" x14ac:dyDescent="0.25">
      <c r="A176" s="92" t="s">
        <v>241</v>
      </c>
      <c r="B176" s="224"/>
      <c r="C176" s="227"/>
      <c r="D176" s="227"/>
      <c r="E176" s="227"/>
      <c r="F176" s="224"/>
      <c r="G176" s="224"/>
      <c r="H176" s="84"/>
      <c r="K176" s="102"/>
    </row>
    <row r="177" spans="1:11" ht="18" x14ac:dyDescent="0.25">
      <c r="A177" s="92" t="s">
        <v>242</v>
      </c>
      <c r="B177" s="225"/>
      <c r="C177" s="228"/>
      <c r="D177" s="228"/>
      <c r="E177" s="228"/>
      <c r="F177" s="225"/>
      <c r="G177" s="225"/>
      <c r="H177" s="84"/>
      <c r="K177" s="102"/>
    </row>
    <row r="178" spans="1:11" x14ac:dyDescent="0.25">
      <c r="A178" s="92" t="s">
        <v>281</v>
      </c>
      <c r="B178" s="93" t="s">
        <v>244</v>
      </c>
      <c r="C178" s="93" t="s">
        <v>282</v>
      </c>
      <c r="D178" s="93" t="s">
        <v>283</v>
      </c>
      <c r="E178" s="93" t="s">
        <v>284</v>
      </c>
      <c r="F178" s="93">
        <v>0.02</v>
      </c>
      <c r="G178" s="93">
        <v>0</v>
      </c>
      <c r="H178" s="84"/>
      <c r="K178" s="102"/>
    </row>
    <row r="179" spans="1:11" x14ac:dyDescent="0.25">
      <c r="A179" s="94" t="s">
        <v>248</v>
      </c>
      <c r="B179" s="93" t="s">
        <v>249</v>
      </c>
      <c r="C179" s="93">
        <v>1</v>
      </c>
      <c r="D179" s="93">
        <v>1</v>
      </c>
      <c r="E179" s="93">
        <v>1</v>
      </c>
      <c r="F179" s="93">
        <v>1</v>
      </c>
      <c r="G179" s="93">
        <v>1</v>
      </c>
      <c r="H179" s="84"/>
      <c r="K179" s="102"/>
    </row>
    <row r="180" spans="1:11" x14ac:dyDescent="0.25">
      <c r="A180" s="84"/>
      <c r="B180" s="84"/>
      <c r="C180" s="84"/>
      <c r="D180" s="84"/>
      <c r="E180" s="84"/>
      <c r="F180" s="84"/>
      <c r="G180" s="84"/>
      <c r="H180" s="84"/>
      <c r="K180" s="102"/>
    </row>
    <row r="181" spans="1:11" x14ac:dyDescent="0.25">
      <c r="A181" s="84"/>
      <c r="B181" s="84"/>
      <c r="C181" s="84"/>
      <c r="D181" s="84"/>
      <c r="E181" s="84"/>
      <c r="F181" s="84"/>
      <c r="G181" s="84"/>
      <c r="H181" s="84"/>
      <c r="K181" s="102"/>
    </row>
    <row r="182" spans="1:11" x14ac:dyDescent="0.25">
      <c r="K182" s="102"/>
    </row>
    <row r="183" spans="1:11" x14ac:dyDescent="0.25">
      <c r="K183" s="102"/>
    </row>
  </sheetData>
  <mergeCells count="75">
    <mergeCell ref="G174:G177"/>
    <mergeCell ref="B174:B177"/>
    <mergeCell ref="C174:C177"/>
    <mergeCell ref="D174:D177"/>
    <mergeCell ref="E174:E177"/>
    <mergeCell ref="F174:F177"/>
    <mergeCell ref="F157:F160"/>
    <mergeCell ref="G157:G160"/>
    <mergeCell ref="A172:A173"/>
    <mergeCell ref="B172:B173"/>
    <mergeCell ref="C172:E172"/>
    <mergeCell ref="A155:A156"/>
    <mergeCell ref="B155:B156"/>
    <mergeCell ref="C155:E155"/>
    <mergeCell ref="B157:B160"/>
    <mergeCell ref="C157:C160"/>
    <mergeCell ref="D157:D160"/>
    <mergeCell ref="E157:E160"/>
    <mergeCell ref="G123:G126"/>
    <mergeCell ref="A138:A139"/>
    <mergeCell ref="B138:B139"/>
    <mergeCell ref="C138:E138"/>
    <mergeCell ref="B140:B143"/>
    <mergeCell ref="C140:C143"/>
    <mergeCell ref="D140:D143"/>
    <mergeCell ref="E140:E143"/>
    <mergeCell ref="F140:F143"/>
    <mergeCell ref="G140:G143"/>
    <mergeCell ref="B123:B126"/>
    <mergeCell ref="C123:C126"/>
    <mergeCell ref="D123:D126"/>
    <mergeCell ref="E123:E126"/>
    <mergeCell ref="F123:F126"/>
    <mergeCell ref="F106:F109"/>
    <mergeCell ref="G106:G109"/>
    <mergeCell ref="A121:A122"/>
    <mergeCell ref="B121:B122"/>
    <mergeCell ref="C121:E121"/>
    <mergeCell ref="A104:A105"/>
    <mergeCell ref="B104:B105"/>
    <mergeCell ref="C104:E104"/>
    <mergeCell ref="B106:B109"/>
    <mergeCell ref="C106:C109"/>
    <mergeCell ref="D106:D109"/>
    <mergeCell ref="E106:E109"/>
    <mergeCell ref="F89:F92"/>
    <mergeCell ref="G89:G92"/>
    <mergeCell ref="B72:B75"/>
    <mergeCell ref="C72:C75"/>
    <mergeCell ref="D72:D75"/>
    <mergeCell ref="E72:E75"/>
    <mergeCell ref="F72:F75"/>
    <mergeCell ref="A87:A88"/>
    <mergeCell ref="B87:B88"/>
    <mergeCell ref="C87:E87"/>
    <mergeCell ref="B89:B92"/>
    <mergeCell ref="C89:C92"/>
    <mergeCell ref="D89:D92"/>
    <mergeCell ref="E89:E92"/>
    <mergeCell ref="G55:G58"/>
    <mergeCell ref="A70:A71"/>
    <mergeCell ref="B70:B71"/>
    <mergeCell ref="C70:E70"/>
    <mergeCell ref="G72:G75"/>
    <mergeCell ref="B55:B58"/>
    <mergeCell ref="C55:C58"/>
    <mergeCell ref="D55:D58"/>
    <mergeCell ref="E55:E58"/>
    <mergeCell ref="F55:F58"/>
    <mergeCell ref="A1:XFD1"/>
    <mergeCell ref="A2:XFD2"/>
    <mergeCell ref="A30:XFD30"/>
    <mergeCell ref="A53:A54"/>
    <mergeCell ref="B53:B54"/>
    <mergeCell ref="C53:E53"/>
  </mergeCells>
  <hyperlinks>
    <hyperlink ref="A1" location="Home!A1" display="Click here to go to home page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76"/>
  <sheetViews>
    <sheetView showGridLines="0" workbookViewId="0">
      <pane ySplit="2" topLeftCell="A3" activePane="bottomLeft" state="frozen"/>
      <selection pane="bottomLeft" sqref="A1:XFD1"/>
    </sheetView>
  </sheetViews>
  <sheetFormatPr defaultRowHeight="15" x14ac:dyDescent="0.25"/>
  <cols>
    <col min="2" max="2" width="15.5703125" customWidth="1"/>
  </cols>
  <sheetData>
    <row r="1" spans="1:3" s="195" customFormat="1" ht="19.5" thickBot="1" x14ac:dyDescent="0.35">
      <c r="A1" s="194" t="s">
        <v>146</v>
      </c>
    </row>
    <row r="2" spans="1:3" s="191" customFormat="1" ht="24" thickBot="1" x14ac:dyDescent="0.4">
      <c r="A2" s="190" t="s">
        <v>512</v>
      </c>
    </row>
    <row r="4" spans="1:3" x14ac:dyDescent="0.25">
      <c r="B4" s="84" t="s">
        <v>328</v>
      </c>
    </row>
    <row r="5" spans="1:3" s="165" customFormat="1" x14ac:dyDescent="0.25"/>
    <row r="6" spans="1:3" x14ac:dyDescent="0.25">
      <c r="B6" s="29" t="s">
        <v>492</v>
      </c>
    </row>
    <row r="7" spans="1:3" s="165" customFormat="1" x14ac:dyDescent="0.25"/>
    <row r="8" spans="1:3" x14ac:dyDescent="0.25">
      <c r="B8" s="1" t="s">
        <v>305</v>
      </c>
    </row>
    <row r="10" spans="1:3" x14ac:dyDescent="0.25">
      <c r="B10" t="s">
        <v>306</v>
      </c>
      <c r="C10" s="1" t="s">
        <v>307</v>
      </c>
    </row>
    <row r="11" spans="1:3" x14ac:dyDescent="0.25">
      <c r="B11" t="s">
        <v>308</v>
      </c>
      <c r="C11" s="1" t="s">
        <v>324</v>
      </c>
    </row>
    <row r="12" spans="1:3" x14ac:dyDescent="0.25">
      <c r="B12" t="s">
        <v>309</v>
      </c>
      <c r="C12" s="1" t="s">
        <v>325</v>
      </c>
    </row>
    <row r="13" spans="1:3" s="84" customFormat="1" x14ac:dyDescent="0.25">
      <c r="B13" s="84" t="s">
        <v>310</v>
      </c>
      <c r="C13" s="1" t="s">
        <v>545</v>
      </c>
    </row>
    <row r="14" spans="1:3" s="84" customFormat="1" x14ac:dyDescent="0.25">
      <c r="C14" s="1"/>
    </row>
    <row r="15" spans="1:3" s="84" customFormat="1" x14ac:dyDescent="0.25">
      <c r="B15" s="84" t="s">
        <v>329</v>
      </c>
      <c r="C15" s="1"/>
    </row>
    <row r="16" spans="1:3" s="84" customFormat="1" x14ac:dyDescent="0.25">
      <c r="C16" s="1"/>
    </row>
    <row r="17" spans="2:11" s="84" customFormat="1" x14ac:dyDescent="0.25">
      <c r="B17" s="29" t="s">
        <v>321</v>
      </c>
      <c r="C17" s="1"/>
    </row>
    <row r="18" spans="2:11" s="84" customFormat="1" x14ac:dyDescent="0.25">
      <c r="B18" s="84" t="s">
        <v>336</v>
      </c>
      <c r="C18" s="1"/>
    </row>
    <row r="19" spans="2:11" s="84" customFormat="1" x14ac:dyDescent="0.25">
      <c r="B19" s="84" t="s">
        <v>337</v>
      </c>
      <c r="C19" s="1"/>
    </row>
    <row r="21" spans="2:11" x14ac:dyDescent="0.25">
      <c r="D21" s="105" t="s">
        <v>326</v>
      </c>
      <c r="E21" s="105" t="s">
        <v>327</v>
      </c>
      <c r="F21" s="105" t="s">
        <v>334</v>
      </c>
    </row>
    <row r="22" spans="2:11" x14ac:dyDescent="0.25">
      <c r="D22" s="115">
        <v>1</v>
      </c>
      <c r="E22" s="115">
        <f>D22+1</f>
        <v>2</v>
      </c>
      <c r="F22" s="115">
        <f>E22+1</f>
        <v>3</v>
      </c>
      <c r="H22" t="s">
        <v>311</v>
      </c>
    </row>
    <row r="23" spans="2:11" x14ac:dyDescent="0.25">
      <c r="C23" s="115">
        <v>1</v>
      </c>
      <c r="D23" s="169" t="s">
        <v>312</v>
      </c>
      <c r="E23" s="118">
        <v>1</v>
      </c>
      <c r="F23" s="123">
        <v>250</v>
      </c>
      <c r="J23" t="s">
        <v>339</v>
      </c>
    </row>
    <row r="24" spans="2:11" x14ac:dyDescent="0.25">
      <c r="C24" s="115">
        <f>C23+1</f>
        <v>2</v>
      </c>
      <c r="D24" s="169" t="s">
        <v>313</v>
      </c>
      <c r="E24" s="118">
        <f>E23+0.5</f>
        <v>1.5</v>
      </c>
      <c r="F24" s="123">
        <f>F23+250</f>
        <v>500</v>
      </c>
    </row>
    <row r="25" spans="2:11" x14ac:dyDescent="0.25">
      <c r="C25" s="115">
        <f t="shared" ref="C25:C31" si="0">C24+1</f>
        <v>3</v>
      </c>
      <c r="D25" s="169" t="s">
        <v>314</v>
      </c>
      <c r="E25" s="118">
        <f t="shared" ref="E25:E31" si="1">E24+0.5</f>
        <v>2</v>
      </c>
      <c r="F25" s="123">
        <f t="shared" ref="F25:F31" si="2">F24+250</f>
        <v>750</v>
      </c>
      <c r="J25" t="s">
        <v>323</v>
      </c>
    </row>
    <row r="26" spans="2:11" ht="15.75" thickBot="1" x14ac:dyDescent="0.3">
      <c r="C26" s="115">
        <f t="shared" si="0"/>
        <v>4</v>
      </c>
      <c r="D26" s="169" t="s">
        <v>315</v>
      </c>
      <c r="E26" s="118">
        <f t="shared" si="1"/>
        <v>2.5</v>
      </c>
      <c r="F26" s="123">
        <f t="shared" si="2"/>
        <v>1000</v>
      </c>
    </row>
    <row r="27" spans="2:11" ht="15.75" thickBot="1" x14ac:dyDescent="0.3">
      <c r="C27" s="115">
        <f t="shared" si="0"/>
        <v>5</v>
      </c>
      <c r="D27" s="169" t="s">
        <v>316</v>
      </c>
      <c r="E27" s="118">
        <f t="shared" si="1"/>
        <v>3</v>
      </c>
      <c r="F27" s="123">
        <f t="shared" si="2"/>
        <v>1250</v>
      </c>
      <c r="J27" s="116" t="s">
        <v>316</v>
      </c>
      <c r="K27" t="s">
        <v>322</v>
      </c>
    </row>
    <row r="28" spans="2:11" ht="15.75" thickBot="1" x14ac:dyDescent="0.3">
      <c r="C28" s="115">
        <f t="shared" si="0"/>
        <v>6</v>
      </c>
      <c r="D28" s="169" t="s">
        <v>317</v>
      </c>
      <c r="E28" s="118">
        <f t="shared" si="1"/>
        <v>3.5</v>
      </c>
      <c r="F28" s="123">
        <f t="shared" si="2"/>
        <v>1500</v>
      </c>
      <c r="J28" s="105"/>
    </row>
    <row r="29" spans="2:11" ht="15.75" thickBot="1" x14ac:dyDescent="0.3">
      <c r="C29" s="115">
        <f t="shared" si="0"/>
        <v>7</v>
      </c>
      <c r="D29" s="169" t="s">
        <v>318</v>
      </c>
      <c r="E29" s="118">
        <f t="shared" si="1"/>
        <v>4</v>
      </c>
      <c r="F29" s="123">
        <f t="shared" si="2"/>
        <v>1750</v>
      </c>
      <c r="J29" s="116">
        <v>2</v>
      </c>
      <c r="K29" t="s">
        <v>335</v>
      </c>
    </row>
    <row r="30" spans="2:11" ht="15.75" thickBot="1" x14ac:dyDescent="0.3">
      <c r="C30" s="115">
        <f t="shared" si="0"/>
        <v>8</v>
      </c>
      <c r="D30" s="169" t="s">
        <v>319</v>
      </c>
      <c r="E30" s="118">
        <f t="shared" si="1"/>
        <v>4.5</v>
      </c>
      <c r="F30" s="123">
        <f t="shared" si="2"/>
        <v>2000</v>
      </c>
      <c r="J30" s="105"/>
    </row>
    <row r="31" spans="2:11" ht="15.75" thickBot="1" x14ac:dyDescent="0.3">
      <c r="C31" s="115">
        <f t="shared" si="0"/>
        <v>9</v>
      </c>
      <c r="D31" s="169" t="s">
        <v>320</v>
      </c>
      <c r="E31" s="118">
        <f t="shared" si="1"/>
        <v>5</v>
      </c>
      <c r="F31" s="123">
        <f t="shared" si="2"/>
        <v>2250</v>
      </c>
      <c r="J31" s="117">
        <f>VLOOKUP($J$27,$D$23:$F$31,$J$29,FALSE)</f>
        <v>3</v>
      </c>
      <c r="K31" t="s">
        <v>338</v>
      </c>
    </row>
    <row r="34" spans="1:11" x14ac:dyDescent="0.25">
      <c r="C34" s="170"/>
      <c r="J34" t="s">
        <v>333</v>
      </c>
    </row>
    <row r="35" spans="1:11" x14ac:dyDescent="0.25">
      <c r="J35" t="s">
        <v>331</v>
      </c>
    </row>
    <row r="36" spans="1:11" ht="15.75" thickBot="1" x14ac:dyDescent="0.3"/>
    <row r="37" spans="1:11" ht="15.75" thickBot="1" x14ac:dyDescent="0.3">
      <c r="J37" s="122">
        <f>MATCH(J27,D23:D31)</f>
        <v>5</v>
      </c>
      <c r="K37" s="120" t="s">
        <v>332</v>
      </c>
    </row>
    <row r="40" spans="1:11" x14ac:dyDescent="0.25">
      <c r="B40" s="29" t="s">
        <v>494</v>
      </c>
    </row>
    <row r="41" spans="1:11" x14ac:dyDescent="0.25">
      <c r="B41" s="165" t="s">
        <v>493</v>
      </c>
    </row>
    <row r="44" spans="1:11" ht="15.75" thickBot="1" x14ac:dyDescent="0.3"/>
    <row r="45" spans="1:11" s="191" customFormat="1" ht="24" thickBot="1" x14ac:dyDescent="0.4">
      <c r="A45" s="190" t="s">
        <v>496</v>
      </c>
    </row>
    <row r="47" spans="1:11" x14ac:dyDescent="0.25">
      <c r="B47" t="s">
        <v>513</v>
      </c>
    </row>
    <row r="48" spans="1:11" s="165" customFormat="1" x14ac:dyDescent="0.25">
      <c r="B48" s="165" t="s">
        <v>498</v>
      </c>
    </row>
    <row r="49" spans="2:12" s="165" customFormat="1" x14ac:dyDescent="0.25"/>
    <row r="50" spans="2:12" x14ac:dyDescent="0.25">
      <c r="B50" s="1" t="s">
        <v>495</v>
      </c>
    </row>
    <row r="51" spans="2:12" s="165" customFormat="1" x14ac:dyDescent="0.25">
      <c r="B51" s="1"/>
    </row>
    <row r="52" spans="2:12" x14ac:dyDescent="0.25">
      <c r="B52" t="s">
        <v>497</v>
      </c>
    </row>
    <row r="55" spans="2:12" x14ac:dyDescent="0.25">
      <c r="D55" s="105" t="s">
        <v>326</v>
      </c>
      <c r="E55" s="105" t="s">
        <v>327</v>
      </c>
      <c r="F55" s="105" t="s">
        <v>334</v>
      </c>
    </row>
    <row r="56" spans="2:12" x14ac:dyDescent="0.25">
      <c r="C56" s="165"/>
      <c r="D56" s="115">
        <v>1</v>
      </c>
      <c r="E56" s="115">
        <f>D56+1</f>
        <v>2</v>
      </c>
      <c r="F56" s="115">
        <f>E56+1</f>
        <v>3</v>
      </c>
      <c r="H56" s="165" t="s">
        <v>311</v>
      </c>
    </row>
    <row r="57" spans="2:12" ht="15.75" thickBot="1" x14ac:dyDescent="0.3">
      <c r="C57" s="115">
        <v>1</v>
      </c>
      <c r="D57" s="114" t="s">
        <v>312</v>
      </c>
      <c r="E57" s="171">
        <v>1</v>
      </c>
      <c r="F57" s="123">
        <v>250</v>
      </c>
    </row>
    <row r="58" spans="2:12" ht="15.75" thickBot="1" x14ac:dyDescent="0.3">
      <c r="C58" s="115">
        <f>C57+1</f>
        <v>2</v>
      </c>
      <c r="D58" s="114" t="s">
        <v>313</v>
      </c>
      <c r="E58" s="171">
        <f>E57+0.5</f>
        <v>1.5</v>
      </c>
      <c r="F58" s="123">
        <f>F57+250</f>
        <v>500</v>
      </c>
      <c r="J58" s="116">
        <v>2</v>
      </c>
      <c r="K58" s="165" t="s">
        <v>500</v>
      </c>
    </row>
    <row r="59" spans="2:12" ht="15.75" thickBot="1" x14ac:dyDescent="0.3">
      <c r="C59" s="115">
        <f t="shared" ref="C59:C65" si="3">C58+1</f>
        <v>3</v>
      </c>
      <c r="D59" s="114" t="s">
        <v>314</v>
      </c>
      <c r="E59" s="171">
        <f t="shared" ref="E59:E62" si="4">E58+0.5</f>
        <v>2</v>
      </c>
      <c r="F59" s="123">
        <f t="shared" ref="F59:F65" si="5">F58+250</f>
        <v>750</v>
      </c>
    </row>
    <row r="60" spans="2:12" ht="15.75" thickBot="1" x14ac:dyDescent="0.3">
      <c r="C60" s="115">
        <f t="shared" si="3"/>
        <v>4</v>
      </c>
      <c r="D60" s="114" t="s">
        <v>315</v>
      </c>
      <c r="E60" s="171">
        <f t="shared" si="4"/>
        <v>2.5</v>
      </c>
      <c r="F60" s="123">
        <f t="shared" si="5"/>
        <v>1000</v>
      </c>
      <c r="J60" s="117" t="str">
        <f>INDEX(D57:D65,MATCH(J58,E57:E65,0))</f>
        <v>R-03</v>
      </c>
      <c r="K60" s="165" t="s">
        <v>499</v>
      </c>
    </row>
    <row r="61" spans="2:12" x14ac:dyDescent="0.25">
      <c r="C61" s="115">
        <f t="shared" si="3"/>
        <v>5</v>
      </c>
      <c r="D61" s="114" t="s">
        <v>316</v>
      </c>
      <c r="E61" s="171">
        <f t="shared" si="4"/>
        <v>3</v>
      </c>
      <c r="F61" s="123">
        <f t="shared" si="5"/>
        <v>1250</v>
      </c>
      <c r="K61" t="s">
        <v>504</v>
      </c>
    </row>
    <row r="62" spans="2:12" x14ac:dyDescent="0.25">
      <c r="C62" s="115">
        <f t="shared" si="3"/>
        <v>6</v>
      </c>
      <c r="D62" s="114" t="s">
        <v>317</v>
      </c>
      <c r="E62" s="171">
        <f t="shared" si="4"/>
        <v>3.5</v>
      </c>
      <c r="F62" s="123">
        <f t="shared" si="5"/>
        <v>1500</v>
      </c>
      <c r="K62" s="125" t="s">
        <v>502</v>
      </c>
      <c r="L62" s="165"/>
    </row>
    <row r="63" spans="2:12" ht="15.75" thickBot="1" x14ac:dyDescent="0.3">
      <c r="C63" s="115">
        <f t="shared" si="3"/>
        <v>7</v>
      </c>
      <c r="D63" s="114" t="s">
        <v>318</v>
      </c>
      <c r="E63" s="171">
        <f t="shared" ref="E63:E65" si="6">E62+0.5</f>
        <v>4</v>
      </c>
      <c r="F63" s="123">
        <f t="shared" si="5"/>
        <v>1750</v>
      </c>
    </row>
    <row r="64" spans="2:12" ht="15.75" thickBot="1" x14ac:dyDescent="0.3">
      <c r="C64" s="115">
        <f t="shared" si="3"/>
        <v>8</v>
      </c>
      <c r="D64" s="114" t="s">
        <v>319</v>
      </c>
      <c r="E64" s="171">
        <f t="shared" si="6"/>
        <v>4.5</v>
      </c>
      <c r="F64" s="123">
        <f t="shared" si="5"/>
        <v>2000</v>
      </c>
      <c r="J64" s="117" t="str">
        <f>INDEX(D57:D65,MATCH(J58,E57:E65,1)+(LOOKUP(J58,E57:E65)&lt;&gt;J58))</f>
        <v>R-03</v>
      </c>
      <c r="K64" s="165" t="s">
        <v>501</v>
      </c>
    </row>
    <row r="65" spans="2:11" x14ac:dyDescent="0.25">
      <c r="C65" s="115">
        <f t="shared" si="3"/>
        <v>9</v>
      </c>
      <c r="D65" s="114" t="s">
        <v>320</v>
      </c>
      <c r="E65" s="171">
        <f t="shared" si="6"/>
        <v>5</v>
      </c>
      <c r="F65" s="123">
        <f t="shared" si="5"/>
        <v>2250</v>
      </c>
      <c r="K65" s="168" t="s">
        <v>505</v>
      </c>
    </row>
    <row r="66" spans="2:11" x14ac:dyDescent="0.25">
      <c r="K66" s="125" t="s">
        <v>503</v>
      </c>
    </row>
    <row r="67" spans="2:11" s="165" customFormat="1" x14ac:dyDescent="0.25"/>
    <row r="68" spans="2:11" s="165" customFormat="1" x14ac:dyDescent="0.25"/>
    <row r="69" spans="2:11" s="165" customFormat="1" x14ac:dyDescent="0.25"/>
    <row r="70" spans="2:11" s="165" customFormat="1" x14ac:dyDescent="0.25"/>
    <row r="72" spans="2:11" x14ac:dyDescent="0.25">
      <c r="B72" t="s">
        <v>506</v>
      </c>
    </row>
    <row r="73" spans="2:11" x14ac:dyDescent="0.25">
      <c r="B73" t="s">
        <v>508</v>
      </c>
    </row>
    <row r="74" spans="2:11" x14ac:dyDescent="0.25">
      <c r="B74" t="s">
        <v>509</v>
      </c>
    </row>
    <row r="76" spans="2:11" x14ac:dyDescent="0.25">
      <c r="B76" s="29" t="s">
        <v>507</v>
      </c>
    </row>
  </sheetData>
  <mergeCells count="3">
    <mergeCell ref="A1:XFD1"/>
    <mergeCell ref="A2:XFD2"/>
    <mergeCell ref="A45:XFD45"/>
  </mergeCells>
  <hyperlinks>
    <hyperlink ref="A1" location="Home!A1" display="Click here to go to home page"/>
  </hyperlink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134"/>
  <sheetViews>
    <sheetView showGridLines="0" workbookViewId="0">
      <pane ySplit="2" topLeftCell="A3" activePane="bottomLeft" state="frozen"/>
      <selection pane="bottomLeft" sqref="A1:XFD1"/>
    </sheetView>
  </sheetViews>
  <sheetFormatPr defaultRowHeight="15" x14ac:dyDescent="0.25"/>
  <sheetData>
    <row r="1" spans="1:2" s="195" customFormat="1" ht="19.5" thickBot="1" x14ac:dyDescent="0.35">
      <c r="A1" s="194" t="s">
        <v>146</v>
      </c>
    </row>
    <row r="2" spans="1:2" s="191" customFormat="1" ht="24" thickBot="1" x14ac:dyDescent="0.4">
      <c r="A2" s="190" t="s">
        <v>439</v>
      </c>
    </row>
    <row r="3" spans="1:2" s="120" customFormat="1" x14ac:dyDescent="0.25"/>
    <row r="4" spans="1:2" s="120" customFormat="1" x14ac:dyDescent="0.25">
      <c r="B4" s="120" t="s">
        <v>442</v>
      </c>
    </row>
    <row r="5" spans="1:2" s="120" customFormat="1" x14ac:dyDescent="0.25">
      <c r="B5" s="120" t="s">
        <v>443</v>
      </c>
    </row>
    <row r="6" spans="1:2" s="120" customFormat="1" x14ac:dyDescent="0.25">
      <c r="B6" s="120" t="s">
        <v>444</v>
      </c>
    </row>
    <row r="7" spans="1:2" s="120" customFormat="1" x14ac:dyDescent="0.25"/>
    <row r="8" spans="1:2" x14ac:dyDescent="0.25">
      <c r="B8" t="s">
        <v>445</v>
      </c>
    </row>
    <row r="10" spans="1:2" x14ac:dyDescent="0.25">
      <c r="B10" t="s">
        <v>446</v>
      </c>
    </row>
    <row r="12" spans="1:2" x14ac:dyDescent="0.25">
      <c r="B12" t="s">
        <v>447</v>
      </c>
    </row>
    <row r="20" spans="2:2" s="147" customFormat="1" x14ac:dyDescent="0.25"/>
    <row r="21" spans="2:2" x14ac:dyDescent="0.25">
      <c r="B21" t="s">
        <v>448</v>
      </c>
    </row>
    <row r="22" spans="2:2" x14ac:dyDescent="0.25">
      <c r="B22" t="s">
        <v>449</v>
      </c>
    </row>
    <row r="23" spans="2:2" x14ac:dyDescent="0.25">
      <c r="B23" t="s">
        <v>450</v>
      </c>
    </row>
    <row r="60" spans="2:2" s="147" customFormat="1" x14ac:dyDescent="0.25"/>
    <row r="61" spans="2:2" s="147" customFormat="1" x14ac:dyDescent="0.25"/>
    <row r="62" spans="2:2" x14ac:dyDescent="0.25">
      <c r="B62" t="s">
        <v>451</v>
      </c>
    </row>
    <row r="72" spans="2:2" x14ac:dyDescent="0.25">
      <c r="B72" t="s">
        <v>452</v>
      </c>
    </row>
    <row r="73" spans="2:2" x14ac:dyDescent="0.25">
      <c r="B73" t="s">
        <v>453</v>
      </c>
    </row>
    <row r="96" spans="2:2" x14ac:dyDescent="0.25">
      <c r="B96" t="s">
        <v>454</v>
      </c>
    </row>
    <row r="99" spans="1:18" ht="15.75" thickBot="1" x14ac:dyDescent="0.3"/>
    <row r="100" spans="1:18" s="191" customFormat="1" ht="24" thickBot="1" x14ac:dyDescent="0.4">
      <c r="A100" s="190" t="s">
        <v>457</v>
      </c>
    </row>
    <row r="102" spans="1:18" ht="15.75" thickBot="1" x14ac:dyDescent="0.3"/>
    <row r="103" spans="1:18" ht="15.75" thickBot="1" x14ac:dyDescent="0.3">
      <c r="B103" s="116">
        <v>7</v>
      </c>
      <c r="D103" t="s">
        <v>456</v>
      </c>
      <c r="M103" t="s">
        <v>458</v>
      </c>
    </row>
    <row r="105" spans="1:18" x14ac:dyDescent="0.25">
      <c r="D105" t="s">
        <v>459</v>
      </c>
    </row>
    <row r="108" spans="1:18" ht="15.75" thickBot="1" x14ac:dyDescent="0.3"/>
    <row r="109" spans="1:18" ht="15.75" thickBot="1" x14ac:dyDescent="0.3">
      <c r="C109" s="116">
        <v>21</v>
      </c>
      <c r="D109" t="s">
        <v>460</v>
      </c>
    </row>
    <row r="110" spans="1:18" x14ac:dyDescent="0.25">
      <c r="O110" s="158"/>
      <c r="P110" s="158"/>
      <c r="Q110" s="158"/>
      <c r="R110" s="158"/>
    </row>
    <row r="111" spans="1:18" x14ac:dyDescent="0.25">
      <c r="O111" s="158"/>
      <c r="P111" s="158"/>
      <c r="Q111" s="158"/>
      <c r="R111" s="158"/>
    </row>
    <row r="112" spans="1:18" x14ac:dyDescent="0.25">
      <c r="O112" s="158"/>
      <c r="P112" s="158"/>
      <c r="Q112" s="158"/>
      <c r="R112" s="158"/>
    </row>
    <row r="113" spans="2:18" x14ac:dyDescent="0.25">
      <c r="J113" s="158"/>
      <c r="K113" s="158"/>
      <c r="L113" s="158"/>
      <c r="M113" s="158"/>
      <c r="O113" s="158"/>
      <c r="P113" s="158"/>
      <c r="Q113" s="158"/>
      <c r="R113" s="158"/>
    </row>
    <row r="114" spans="2:18" x14ac:dyDescent="0.25">
      <c r="O114" s="158"/>
      <c r="P114" s="158"/>
      <c r="Q114" s="158"/>
      <c r="R114" s="158"/>
    </row>
    <row r="115" spans="2:18" x14ac:dyDescent="0.25">
      <c r="O115" s="158"/>
      <c r="P115" s="158"/>
      <c r="Q115" s="158"/>
      <c r="R115" s="158"/>
    </row>
    <row r="116" spans="2:18" x14ac:dyDescent="0.25">
      <c r="O116" s="158"/>
      <c r="P116" s="158"/>
      <c r="Q116" s="158"/>
      <c r="R116" s="158"/>
    </row>
    <row r="117" spans="2:18" x14ac:dyDescent="0.25">
      <c r="B117" s="177"/>
      <c r="C117" s="177"/>
      <c r="D117" s="177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</row>
    <row r="118" spans="2:18" x14ac:dyDescent="0.25">
      <c r="B118" s="177"/>
      <c r="C118" s="177"/>
      <c r="D118" s="177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</row>
    <row r="119" spans="2:18" x14ac:dyDescent="0.25">
      <c r="B119" s="177"/>
      <c r="C119" s="177"/>
      <c r="D119" s="177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</row>
    <row r="120" spans="2:18" x14ac:dyDescent="0.25">
      <c r="B120" s="177"/>
      <c r="C120" s="177"/>
      <c r="D120" s="177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</row>
    <row r="121" spans="2:18" x14ac:dyDescent="0.25">
      <c r="B121" s="177"/>
      <c r="C121" s="177"/>
      <c r="D121" s="177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</row>
    <row r="122" spans="2:18" x14ac:dyDescent="0.25">
      <c r="B122" s="177"/>
      <c r="C122" s="177"/>
      <c r="D122" s="177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</row>
    <row r="123" spans="2:18" x14ac:dyDescent="0.25">
      <c r="B123" s="177"/>
      <c r="C123" s="177"/>
      <c r="D123" s="177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</row>
    <row r="124" spans="2:18" x14ac:dyDescent="0.25">
      <c r="B124" s="177"/>
      <c r="C124" s="177"/>
      <c r="D124" s="177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</row>
    <row r="125" spans="2:18" x14ac:dyDescent="0.25">
      <c r="B125" s="177"/>
      <c r="C125" s="177"/>
      <c r="D125" s="177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</row>
    <row r="126" spans="2:18" x14ac:dyDescent="0.25">
      <c r="B126" s="177"/>
      <c r="C126" s="177"/>
      <c r="D126" s="177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</row>
    <row r="127" spans="2:18" x14ac:dyDescent="0.25">
      <c r="B127" s="177"/>
      <c r="C127" s="177"/>
      <c r="D127" s="177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</row>
    <row r="128" spans="2:18" x14ac:dyDescent="0.25">
      <c r="B128" s="177"/>
      <c r="C128" s="177"/>
      <c r="D128" s="177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</row>
    <row r="129" spans="2:14" x14ac:dyDescent="0.25"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</row>
    <row r="130" spans="2:14" x14ac:dyDescent="0.25">
      <c r="B130" s="177"/>
      <c r="C130" s="177"/>
      <c r="D130" s="177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</row>
    <row r="131" spans="2:14" x14ac:dyDescent="0.25">
      <c r="B131" s="177"/>
      <c r="C131" s="177"/>
      <c r="D131" s="177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</row>
    <row r="132" spans="2:14" x14ac:dyDescent="0.25">
      <c r="B132" s="177"/>
      <c r="C132" s="177"/>
      <c r="D132" s="177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</row>
    <row r="133" spans="2:14" x14ac:dyDescent="0.25">
      <c r="B133" s="177"/>
      <c r="C133" s="177"/>
      <c r="D133" s="177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</row>
    <row r="134" spans="2:14" x14ac:dyDescent="0.25">
      <c r="B134" s="177"/>
      <c r="C134" s="177"/>
      <c r="D134" s="177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</row>
  </sheetData>
  <mergeCells count="3">
    <mergeCell ref="A1:XFD1"/>
    <mergeCell ref="A2:XFD2"/>
    <mergeCell ref="A100:XFD100"/>
  </mergeCells>
  <hyperlinks>
    <hyperlink ref="A1" location="Home!A1" display="Click here to go to home page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Home</vt:lpstr>
      <vt:lpstr>General</vt:lpstr>
      <vt:lpstr>Graphs</vt:lpstr>
      <vt:lpstr>If</vt:lpstr>
      <vt:lpstr>Max &amp; Min</vt:lpstr>
      <vt:lpstr>Count</vt:lpstr>
      <vt:lpstr>Sum</vt:lpstr>
      <vt:lpstr>The $ symbol</vt:lpstr>
      <vt:lpstr>Indirect</vt:lpstr>
      <vt:lpstr>Vlookup</vt:lpstr>
      <vt:lpstr>Macros</vt:lpstr>
      <vt:lpstr>NamedCell</vt:lpstr>
      <vt:lpstr>SomeName</vt:lpstr>
    </vt:vector>
  </TitlesOfParts>
  <Company>BDP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Seaman</dc:creator>
  <cp:lastModifiedBy>Rich</cp:lastModifiedBy>
  <dcterms:created xsi:type="dcterms:W3CDTF">2015-09-22T13:23:17Z</dcterms:created>
  <dcterms:modified xsi:type="dcterms:W3CDTF">2016-06-03T22:09:20Z</dcterms:modified>
</cp:coreProperties>
</file>