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60" windowWidth="23895" windowHeight="13170"/>
  </bookViews>
  <sheets>
    <sheet name="Settings_ReadMe" sheetId="1" r:id="rId1"/>
    <sheet name="Pipe Section" sheetId="2" r:id="rId2"/>
    <sheet name="Schematic Sketch" sheetId="4" r:id="rId3"/>
    <sheet name="CIBSE Table" sheetId="3" r:id="rId4"/>
  </sheets>
  <definedNames>
    <definedName name="DU_Bath">Settings_ReadMe!#REF!</definedName>
    <definedName name="DU_Shower">Settings_ReadMe!#REF!</definedName>
    <definedName name="DU_Sink">Settings_ReadMe!#REF!</definedName>
    <definedName name="DU_WC">Settings_ReadMe!$B$31</definedName>
    <definedName name="DU_WHB">Settings_ReadMe!$B$30</definedName>
    <definedName name="_xlnm.Print_Area" localSheetId="1">'Pipe Section'!$A$1:$U$54</definedName>
  </definedNames>
  <calcPr calcId="145621"/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O18" i="2"/>
  <c r="P16" i="2"/>
  <c r="P17" i="2"/>
  <c r="Q49" i="2"/>
  <c r="O46" i="2"/>
  <c r="P14" i="2"/>
  <c r="P46" i="2"/>
  <c r="Q53" i="2"/>
  <c r="O30" i="2"/>
  <c r="Q50" i="2"/>
  <c r="Q30" i="2"/>
  <c r="O43" i="2"/>
  <c r="Q38" i="2"/>
  <c r="Q46" i="2"/>
  <c r="Q47" i="2"/>
  <c r="P33" i="2"/>
  <c r="P42" i="2"/>
  <c r="P10" i="2"/>
  <c r="O48" i="2"/>
  <c r="Q21" i="2"/>
  <c r="Q36" i="2"/>
  <c r="Q18" i="2"/>
  <c r="Q16" i="2"/>
  <c r="Q52" i="2"/>
  <c r="O42" i="2"/>
  <c r="O33" i="2"/>
  <c r="P7" i="2"/>
  <c r="P54" i="2"/>
  <c r="O5" i="2"/>
  <c r="Q29" i="2"/>
  <c r="Q15" i="2"/>
  <c r="P52" i="2"/>
  <c r="O53" i="2"/>
  <c r="O45" i="2"/>
  <c r="P25" i="2"/>
  <c r="O44" i="2"/>
  <c r="O15" i="2"/>
  <c r="Q25" i="2"/>
  <c r="O23" i="2"/>
  <c r="P44" i="2"/>
  <c r="O34" i="2"/>
  <c r="P19" i="2"/>
  <c r="O24" i="2"/>
  <c r="O36" i="2"/>
  <c r="O35" i="2"/>
  <c r="O9" i="2"/>
  <c r="P48" i="2"/>
  <c r="P13" i="2"/>
  <c r="P21" i="2"/>
  <c r="P38" i="2"/>
  <c r="Q42" i="2"/>
  <c r="Q51" i="2"/>
  <c r="Q28" i="2"/>
  <c r="O52" i="2"/>
  <c r="Q37" i="2"/>
  <c r="Q23" i="2"/>
  <c r="O31" i="2"/>
  <c r="P29" i="2"/>
  <c r="P27" i="2"/>
  <c r="P22" i="2"/>
  <c r="Q45" i="2"/>
  <c r="Q7" i="2"/>
  <c r="O41" i="2"/>
  <c r="P36" i="2"/>
  <c r="Q12" i="2"/>
  <c r="O40" i="2"/>
  <c r="Q33" i="2"/>
  <c r="O49" i="2"/>
  <c r="P12" i="2"/>
  <c r="Q32" i="2"/>
  <c r="O25" i="2"/>
  <c r="P11" i="2"/>
  <c r="P53" i="2"/>
  <c r="P24" i="2"/>
  <c r="O10" i="2"/>
  <c r="Q19" i="2"/>
  <c r="Q24" i="2"/>
  <c r="P45" i="2"/>
  <c r="O14" i="2"/>
  <c r="O20" i="2"/>
  <c r="P30" i="2"/>
  <c r="O39" i="2"/>
  <c r="P43" i="2"/>
  <c r="O38" i="2"/>
  <c r="P50" i="2"/>
  <c r="P18" i="2"/>
  <c r="O19" i="2"/>
  <c r="O13" i="2"/>
  <c r="Q31" i="2"/>
  <c r="P35" i="2"/>
  <c r="O21" i="2"/>
  <c r="Q35" i="2"/>
  <c r="P51" i="2"/>
  <c r="Q54" i="2"/>
  <c r="P28" i="2"/>
  <c r="O16" i="2"/>
  <c r="Q14" i="2"/>
  <c r="O32" i="2"/>
  <c r="P31" i="2"/>
  <c r="O12" i="2"/>
  <c r="P9" i="2"/>
  <c r="P41" i="2"/>
  <c r="P39" i="2"/>
  <c r="O7" i="2"/>
  <c r="O54" i="2"/>
  <c r="P40" i="2"/>
  <c r="Q27" i="2"/>
  <c r="Q26" i="2"/>
  <c r="Q11" i="2"/>
  <c r="Q22" i="2"/>
  <c r="P49" i="2"/>
  <c r="Q48" i="2"/>
  <c r="P26" i="2"/>
  <c r="O27" i="2"/>
  <c r="Q39" i="2"/>
  <c r="Q40" i="2"/>
  <c r="Q41" i="2"/>
  <c r="O37" i="2"/>
  <c r="P20" i="2"/>
  <c r="O50" i="2"/>
  <c r="Q43" i="2"/>
  <c r="P47" i="2"/>
  <c r="O28" i="2"/>
  <c r="O22" i="2"/>
  <c r="O26" i="2"/>
  <c r="O29" i="2"/>
  <c r="O11" i="2"/>
  <c r="Q13" i="2"/>
  <c r="Q34" i="2"/>
  <c r="Q44" i="2"/>
  <c r="Q20" i="2"/>
  <c r="P34" i="2"/>
  <c r="P23" i="2"/>
  <c r="P37" i="2"/>
  <c r="P15" i="2"/>
  <c r="P32" i="2"/>
  <c r="O47" i="2"/>
  <c r="O17" i="2"/>
  <c r="Q10" i="2"/>
  <c r="Q17" i="2"/>
  <c r="Q9" i="2"/>
  <c r="O51" i="2"/>
  <c r="Q3" i="2" l="1"/>
  <c r="P3" i="2"/>
  <c r="O3" i="2"/>
  <c r="V1" i="2"/>
  <c r="O8" i="2"/>
  <c r="Q6" i="2"/>
  <c r="Q8" i="2"/>
  <c r="P8" i="2"/>
  <c r="B18" i="1" l="1"/>
  <c r="A22" i="1"/>
  <c r="B22" i="1" s="1"/>
  <c r="B35" i="1"/>
  <c r="C35" i="1" s="1"/>
  <c r="P6" i="2"/>
  <c r="O6" i="2"/>
  <c r="Q5" i="2"/>
  <c r="R32" i="2" l="1"/>
  <c r="R39" i="2"/>
  <c r="R54" i="2"/>
  <c r="R53" i="2"/>
  <c r="R52" i="2"/>
  <c r="R34" i="2"/>
  <c r="R38" i="2"/>
  <c r="R49" i="2"/>
  <c r="R11" i="2"/>
  <c r="R22" i="2"/>
  <c r="R13" i="2"/>
  <c r="R14" i="2"/>
  <c r="R20" i="2"/>
  <c r="R24" i="2"/>
  <c r="R26" i="2"/>
  <c r="R12" i="2"/>
  <c r="R10" i="2"/>
  <c r="R9" i="2"/>
  <c r="D35" i="1"/>
  <c r="C31" i="1"/>
  <c r="D31" i="1" s="1"/>
  <c r="C30" i="1"/>
  <c r="D30" i="1" s="1"/>
  <c r="P5" i="2"/>
  <c r="R5" i="2" l="1"/>
  <c r="R43" i="2"/>
  <c r="R35" i="2"/>
  <c r="R18" i="2"/>
  <c r="R19" i="2"/>
  <c r="R33" i="2"/>
  <c r="R46" i="2"/>
  <c r="R28" i="2"/>
  <c r="R37" i="2"/>
  <c r="R51" i="2"/>
  <c r="R29" i="2"/>
  <c r="R23" i="2"/>
  <c r="R15" i="2"/>
  <c r="R16" i="2"/>
  <c r="R41" i="2"/>
  <c r="R47" i="2"/>
  <c r="R27" i="2"/>
  <c r="R45" i="2"/>
  <c r="R48" i="2"/>
  <c r="R36" i="2"/>
  <c r="R44" i="2"/>
  <c r="R7" i="2"/>
  <c r="R25" i="2"/>
  <c r="R50" i="2"/>
  <c r="R30" i="2"/>
  <c r="R21" i="2"/>
  <c r="R40" i="2"/>
  <c r="R8" i="2"/>
  <c r="R17" i="2"/>
  <c r="R31" i="2"/>
  <c r="R42" i="2"/>
  <c r="R6" i="2"/>
</calcChain>
</file>

<file path=xl/sharedStrings.xml><?xml version="1.0" encoding="utf-8"?>
<sst xmlns="http://schemas.openxmlformats.org/spreadsheetml/2006/main" count="141" uniqueCount="69">
  <si>
    <t xml:space="preserve">Outlet </t>
  </si>
  <si>
    <t>Section Ref</t>
  </si>
  <si>
    <t>#</t>
  </si>
  <si>
    <t>Feeds Sections (leave blank if none)</t>
  </si>
  <si>
    <t>Qty</t>
  </si>
  <si>
    <t>Quick Explanation:</t>
  </si>
  <si>
    <t>mm</t>
  </si>
  <si>
    <t>If you can't follow what's going on ask Richard Seaman.</t>
  </si>
  <si>
    <t>The references used in this workbook refer to the references on the mark up saved here:</t>
  </si>
  <si>
    <t>Pipe Size</t>
  </si>
  <si>
    <t>kW Load</t>
  </si>
  <si>
    <t>Served this section</t>
  </si>
  <si>
    <t>Served through this section</t>
  </si>
  <si>
    <t>Section length</t>
  </si>
  <si>
    <t>m</t>
  </si>
  <si>
    <t># Taps</t>
  </si>
  <si>
    <t># Cookers</t>
  </si>
  <si>
    <t>Total Flowrate</t>
  </si>
  <si>
    <t>The gas flowrates used in this workbook are set below</t>
  </si>
  <si>
    <t>Flowrate (l/s)</t>
  </si>
  <si>
    <t>Flowrate (m3/s)</t>
  </si>
  <si>
    <t>Tap</t>
  </si>
  <si>
    <t>Cooker</t>
  </si>
  <si>
    <t>m3/kW</t>
  </si>
  <si>
    <t>Flowrate (m3/hr)</t>
  </si>
  <si>
    <t>kJ/m3</t>
  </si>
  <si>
    <t>m3/kWh</t>
  </si>
  <si>
    <t>Note: kW = kJ/s</t>
  </si>
  <si>
    <t>Pressure Available at Meter</t>
  </si>
  <si>
    <t>mbar</t>
  </si>
  <si>
    <t>Allowable pressure drop</t>
  </si>
  <si>
    <t>Maximum velocity</t>
  </si>
  <si>
    <t>m/s</t>
  </si>
  <si>
    <t>*Do not use for high rise applications</t>
  </si>
  <si>
    <t>dp/l</t>
  </si>
  <si>
    <t>flowrate</t>
  </si>
  <si>
    <t>L_equiv</t>
  </si>
  <si>
    <t>Pa/m</t>
  </si>
  <si>
    <t>m3/s</t>
  </si>
  <si>
    <t>CIBSE Table 4.45 Flow of natural gas in medium grade steel pipes</t>
  </si>
  <si>
    <t>Pa</t>
  </si>
  <si>
    <t>Actual Pd/m</t>
  </si>
  <si>
    <t>Actual Pd</t>
  </si>
  <si>
    <t>Circuit Length</t>
  </si>
  <si>
    <t>Actual Circuit</t>
  </si>
  <si>
    <t>Max Pd/m</t>
  </si>
  <si>
    <t>Description</t>
  </si>
  <si>
    <t>Circuit Sections</t>
  </si>
  <si>
    <t>Circuit info</t>
  </si>
  <si>
    <t>(insert hyperlink to schematic sketch here)</t>
  </si>
  <si>
    <t>... or just copy it directly in</t>
  </si>
  <si>
    <t>NB: Only cells with a yellow background should be filled in by the user</t>
  </si>
  <si>
    <t>This workbook is used for sizing internal gas pipes</t>
  </si>
  <si>
    <t>The running total of loads/outlets served by each section is then calculated and the corresponding gas flowrates are determined</t>
  </si>
  <si>
    <t>The pipes are sized based on CIBSE's Table (C)4.45</t>
  </si>
  <si>
    <r>
      <t>On the "Pipe Section" worksheet, the user inputs the number of loads for each section (under</t>
    </r>
    <r>
      <rPr>
        <i/>
        <sz val="10"/>
        <rFont val="Arial"/>
        <family val="2"/>
      </rPr>
      <t xml:space="preserve"> "served this section"</t>
    </r>
    <r>
      <rPr>
        <sz val="10"/>
        <rFont val="Arial"/>
        <family val="2"/>
      </rPr>
      <t>) and the sections which are fed from that section (under "</t>
    </r>
    <r>
      <rPr>
        <i/>
        <sz val="10"/>
        <rFont val="Arial"/>
        <family val="2"/>
      </rPr>
      <t>feeds section"</t>
    </r>
    <r>
      <rPr>
        <sz val="10"/>
        <rFont val="Arial"/>
        <family val="2"/>
      </rPr>
      <t>)</t>
    </r>
  </si>
  <si>
    <t>Allowance for Fittings</t>
  </si>
  <si>
    <t>%</t>
  </si>
  <si>
    <t>NB: Do not change/delete/insert any rows or columns as it will mess up the VB code.</t>
  </si>
  <si>
    <t>Gas Energy Content</t>
  </si>
  <si>
    <t>Velocity</t>
  </si>
  <si>
    <t xml:space="preserve"> Flowrate / Pressure / Velocity</t>
  </si>
  <si>
    <t>Residual Pressure</t>
  </si>
  <si>
    <t>kPa</t>
  </si>
  <si>
    <t>An Example Schematic Sketch is given below.</t>
  </si>
  <si>
    <t>An allowance for fittings is used rather than the actual number of fittings. This is different to CIBSE's method but much quicker</t>
  </si>
  <si>
    <t>Pd as % of pressure at meter</t>
  </si>
  <si>
    <t>mBar</t>
  </si>
  <si>
    <t>Additonal Pd (enter the Pd as Pa or mBar, not both)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</si>
</sst>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"/>
    <numFmt numFmtId="165" formatCode="0.00000"/>
    <numFmt numFmtId="166" formatCode="0.0"/>
    <numFmt numFmtId="167" formatCode="0.000"/>
  </numFmts>
  <fonts count="10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sz val="10"/>
      <color rgb="FF333333"/>
      <name val="Verdana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i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7" fillId="0" borderId="0" applyFont="0" applyFill="0" applyBorder="0" applyAlignment="0" applyProtection="0"/>
  </cellStyleXfs>
  <cellXfs count="154">
    <xf numFmtId="0" fontId="0" fillId="0" borderId="0" xfId="0"/>
    <xf numFmtId="0" fontId="2" fillId="0" borderId="0" xfId="1" applyAlignment="1" applyProtection="1"/>
    <xf numFmtId="0" fontId="0" fillId="0" borderId="0" xfId="0" applyFill="1"/>
    <xf numFmtId="0" fontId="0" fillId="2" borderId="2" xfId="0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left"/>
    </xf>
    <xf numFmtId="0" fontId="0" fillId="3" borderId="3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0" xfId="0" applyFill="1" applyBorder="1"/>
    <xf numFmtId="0" fontId="0" fillId="3" borderId="0" xfId="0" applyFill="1"/>
    <xf numFmtId="0" fontId="0" fillId="0" borderId="0" xfId="0" applyAlignment="1">
      <alignment wrapText="1"/>
    </xf>
    <xf numFmtId="0" fontId="0" fillId="3" borderId="20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left"/>
    </xf>
    <xf numFmtId="0" fontId="0" fillId="3" borderId="22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" fillId="3" borderId="18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32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7" fontId="0" fillId="3" borderId="3" xfId="0" applyNumberFormat="1" applyFill="1" applyBorder="1"/>
    <xf numFmtId="2" fontId="0" fillId="3" borderId="19" xfId="0" applyNumberFormat="1" applyFill="1" applyBorder="1"/>
    <xf numFmtId="0" fontId="0" fillId="3" borderId="1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67" fontId="0" fillId="3" borderId="2" xfId="0" applyNumberFormat="1" applyFill="1" applyBorder="1"/>
    <xf numFmtId="2" fontId="0" fillId="3" borderId="27" xfId="0" applyNumberFormat="1" applyFill="1" applyBorder="1"/>
    <xf numFmtId="2" fontId="0" fillId="3" borderId="2" xfId="0" applyNumberFormat="1" applyFill="1" applyBorder="1"/>
    <xf numFmtId="0" fontId="0" fillId="3" borderId="21" xfId="0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2" fontId="0" fillId="3" borderId="22" xfId="0" applyNumberFormat="1" applyFill="1" applyBorder="1"/>
    <xf numFmtId="2" fontId="0" fillId="3" borderId="28" xfId="0" applyNumberFormat="1" applyFill="1" applyBorder="1"/>
    <xf numFmtId="0" fontId="0" fillId="2" borderId="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165" fontId="0" fillId="3" borderId="8" xfId="0" applyNumberFormat="1" applyFill="1" applyBorder="1"/>
    <xf numFmtId="165" fontId="0" fillId="3" borderId="7" xfId="0" applyNumberFormat="1" applyFill="1" applyBorder="1"/>
    <xf numFmtId="165" fontId="0" fillId="3" borderId="20" xfId="0" applyNumberFormat="1" applyFill="1" applyBorder="1"/>
    <xf numFmtId="0" fontId="0" fillId="3" borderId="8" xfId="0" applyFill="1" applyBorder="1"/>
    <xf numFmtId="0" fontId="0" fillId="3" borderId="3" xfId="0" applyFill="1" applyBorder="1"/>
    <xf numFmtId="0" fontId="0" fillId="3" borderId="7" xfId="0" applyFill="1" applyBorder="1"/>
    <xf numFmtId="0" fontId="0" fillId="3" borderId="2" xfId="0" applyFill="1" applyBorder="1"/>
    <xf numFmtId="0" fontId="0" fillId="3" borderId="27" xfId="0" applyFill="1" applyBorder="1"/>
    <xf numFmtId="0" fontId="0" fillId="3" borderId="20" xfId="0" applyFill="1" applyBorder="1"/>
    <xf numFmtId="0" fontId="0" fillId="3" borderId="22" xfId="0" applyFill="1" applyBorder="1"/>
    <xf numFmtId="0" fontId="0" fillId="3" borderId="28" xfId="0" applyFill="1" applyBorder="1"/>
    <xf numFmtId="0" fontId="1" fillId="3" borderId="19" xfId="0" applyFont="1" applyFill="1" applyBorder="1" applyAlignment="1">
      <alignment horizontal="center"/>
    </xf>
    <xf numFmtId="0" fontId="1" fillId="3" borderId="27" xfId="0" applyFont="1" applyFill="1" applyBorder="1" applyAlignment="1">
      <alignment horizontal="center"/>
    </xf>
    <xf numFmtId="0" fontId="1" fillId="3" borderId="28" xfId="0" applyFont="1" applyFill="1" applyBorder="1" applyAlignment="1">
      <alignment horizontal="center"/>
    </xf>
    <xf numFmtId="0" fontId="0" fillId="3" borderId="15" xfId="0" applyFill="1" applyBorder="1"/>
    <xf numFmtId="0" fontId="1" fillId="3" borderId="10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0" fillId="3" borderId="14" xfId="0" applyFill="1" applyBorder="1"/>
    <xf numFmtId="0" fontId="0" fillId="3" borderId="0" xfId="0" applyFill="1" applyBorder="1" applyAlignment="1">
      <alignment vertical="center"/>
    </xf>
    <xf numFmtId="0" fontId="0" fillId="3" borderId="13" xfId="0" applyFill="1" applyBorder="1" applyAlignment="1">
      <alignment vertical="center"/>
    </xf>
    <xf numFmtId="0" fontId="0" fillId="3" borderId="16" xfId="0" applyFill="1" applyBorder="1"/>
    <xf numFmtId="0" fontId="0" fillId="3" borderId="9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164" fontId="0" fillId="3" borderId="0" xfId="0" applyNumberFormat="1" applyFill="1" applyBorder="1"/>
    <xf numFmtId="164" fontId="0" fillId="3" borderId="13" xfId="0" applyNumberFormat="1" applyFill="1" applyBorder="1"/>
    <xf numFmtId="0" fontId="0" fillId="3" borderId="13" xfId="0" applyFill="1" applyBorder="1"/>
    <xf numFmtId="166" fontId="0" fillId="3" borderId="0" xfId="0" applyNumberFormat="1" applyFill="1" applyBorder="1"/>
    <xf numFmtId="166" fontId="0" fillId="3" borderId="13" xfId="0" applyNumberFormat="1" applyFill="1" applyBorder="1"/>
    <xf numFmtId="0" fontId="0" fillId="3" borderId="10" xfId="0" applyFill="1" applyBorder="1" applyAlignment="1">
      <alignment horizontal="left"/>
    </xf>
    <xf numFmtId="0" fontId="0" fillId="3" borderId="10" xfId="0" applyFill="1" applyBorder="1"/>
    <xf numFmtId="0" fontId="0" fillId="3" borderId="9" xfId="0" applyFill="1" applyBorder="1"/>
    <xf numFmtId="0" fontId="0" fillId="3" borderId="0" xfId="0" applyFill="1" applyBorder="1"/>
    <xf numFmtId="165" fontId="0" fillId="3" borderId="13" xfId="0" applyNumberFormat="1" applyFill="1" applyBorder="1"/>
    <xf numFmtId="0" fontId="1" fillId="3" borderId="13" xfId="0" applyFont="1" applyFill="1" applyBorder="1"/>
    <xf numFmtId="0" fontId="6" fillId="3" borderId="0" xfId="0" applyFont="1" applyFill="1"/>
    <xf numFmtId="0" fontId="0" fillId="0" borderId="2" xfId="0" applyBorder="1" applyAlignment="1">
      <alignment wrapText="1"/>
    </xf>
    <xf numFmtId="0" fontId="0" fillId="0" borderId="2" xfId="0" applyBorder="1"/>
    <xf numFmtId="0" fontId="0" fillId="2" borderId="2" xfId="0" applyFill="1" applyBorder="1"/>
    <xf numFmtId="0" fontId="0" fillId="0" borderId="7" xfId="0" applyBorder="1" applyAlignment="1">
      <alignment wrapText="1"/>
    </xf>
    <xf numFmtId="0" fontId="0" fillId="0" borderId="27" xfId="0" applyBorder="1" applyAlignment="1">
      <alignment wrapText="1"/>
    </xf>
    <xf numFmtId="0" fontId="0" fillId="0" borderId="7" xfId="0" applyBorder="1"/>
    <xf numFmtId="0" fontId="0" fillId="0" borderId="20" xfId="0" applyBorder="1"/>
    <xf numFmtId="0" fontId="0" fillId="2" borderId="22" xfId="0" applyFill="1" applyBorder="1"/>
    <xf numFmtId="0" fontId="0" fillId="0" borderId="27" xfId="0" applyBorder="1"/>
    <xf numFmtId="0" fontId="0" fillId="2" borderId="20" xfId="0" applyFill="1" applyBorder="1"/>
    <xf numFmtId="0" fontId="0" fillId="0" borderId="0" xfId="0" applyAlignment="1">
      <alignment horizontal="center" vertical="center" wrapText="1"/>
    </xf>
    <xf numFmtId="0" fontId="4" fillId="0" borderId="7" xfId="0" applyFont="1" applyBorder="1"/>
    <xf numFmtId="0" fontId="4" fillId="2" borderId="20" xfId="0" applyFont="1" applyFill="1" applyBorder="1"/>
    <xf numFmtId="0" fontId="4" fillId="3" borderId="20" xfId="0" applyFont="1" applyFill="1" applyBorder="1"/>
    <xf numFmtId="0" fontId="4" fillId="0" borderId="37" xfId="0" applyFont="1" applyBorder="1"/>
    <xf numFmtId="0" fontId="4" fillId="3" borderId="38" xfId="0" applyFont="1" applyFill="1" applyBorder="1"/>
    <xf numFmtId="0" fontId="3" fillId="0" borderId="36" xfId="0" applyFont="1" applyBorder="1" applyAlignment="1">
      <alignment horizontal="center" vertical="center" wrapText="1"/>
    </xf>
    <xf numFmtId="2" fontId="0" fillId="3" borderId="3" xfId="0" applyNumberFormat="1" applyFill="1" applyBorder="1"/>
    <xf numFmtId="0" fontId="0" fillId="0" borderId="9" xfId="0" applyFill="1" applyBorder="1" applyAlignment="1"/>
    <xf numFmtId="0" fontId="1" fillId="3" borderId="7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27" xfId="0" applyFont="1" applyFill="1" applyBorder="1" applyAlignment="1">
      <alignment horizontal="center" vertical="center" wrapText="1"/>
    </xf>
    <xf numFmtId="10" fontId="0" fillId="3" borderId="19" xfId="2" applyNumberFormat="1" applyFont="1" applyFill="1" applyBorder="1"/>
    <xf numFmtId="10" fontId="0" fillId="3" borderId="27" xfId="2" applyNumberFormat="1" applyFont="1" applyFill="1" applyBorder="1"/>
    <xf numFmtId="10" fontId="0" fillId="3" borderId="28" xfId="2" applyNumberFormat="1" applyFont="1" applyFill="1" applyBorder="1"/>
    <xf numFmtId="0" fontId="0" fillId="2" borderId="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3" fillId="0" borderId="0" xfId="0" applyFont="1"/>
    <xf numFmtId="0" fontId="4" fillId="0" borderId="9" xfId="0" applyFont="1" applyBorder="1"/>
    <xf numFmtId="0" fontId="1" fillId="0" borderId="35" xfId="0" applyFont="1" applyBorder="1"/>
    <xf numFmtId="0" fontId="1" fillId="0" borderId="10" xfId="0" applyFont="1" applyBorder="1"/>
    <xf numFmtId="0" fontId="3" fillId="0" borderId="33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0" fontId="1" fillId="0" borderId="35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4" fillId="0" borderId="0" xfId="0" applyFont="1"/>
    <xf numFmtId="0" fontId="1" fillId="0" borderId="33" xfId="0" applyFont="1" applyBorder="1" applyAlignment="1">
      <alignment horizontal="left" vertical="center" wrapText="1"/>
    </xf>
    <xf numFmtId="0" fontId="1" fillId="0" borderId="30" xfId="0" applyFont="1" applyBorder="1" applyAlignment="1">
      <alignment horizontal="left" vertical="center" wrapText="1"/>
    </xf>
    <xf numFmtId="0" fontId="1" fillId="0" borderId="34" xfId="0" applyFont="1" applyBorder="1" applyAlignment="1">
      <alignment horizontal="left" vertical="center" wrapText="1"/>
    </xf>
    <xf numFmtId="0" fontId="1" fillId="0" borderId="33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0" fillId="0" borderId="7" xfId="0" applyBorder="1"/>
    <xf numFmtId="0" fontId="0" fillId="0" borderId="27" xfId="0" applyBorder="1"/>
    <xf numFmtId="9" fontId="0" fillId="2" borderId="20" xfId="2" applyFont="1" applyFill="1" applyBorder="1"/>
    <xf numFmtId="9" fontId="0" fillId="2" borderId="28" xfId="2" applyFont="1" applyFill="1" applyBorder="1"/>
    <xf numFmtId="0" fontId="1" fillId="3" borderId="33" xfId="0" applyFont="1" applyFill="1" applyBorder="1" applyAlignment="1">
      <alignment horizontal="center" vertical="center" wrapText="1"/>
    </xf>
    <xf numFmtId="0" fontId="1" fillId="3" borderId="30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vertical="center" wrapText="1"/>
    </xf>
    <xf numFmtId="0" fontId="1" fillId="3" borderId="39" xfId="0" applyFont="1" applyFill="1" applyBorder="1" applyAlignment="1">
      <alignment horizontal="center" vertical="center" wrapText="1"/>
    </xf>
    <xf numFmtId="0" fontId="1" fillId="3" borderId="40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1" fillId="3" borderId="2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27" xfId="0" applyFont="1" applyFill="1" applyBorder="1" applyAlignment="1">
      <alignment horizontal="center" vertical="center" wrapText="1"/>
    </xf>
    <xf numFmtId="0" fontId="0" fillId="3" borderId="25" xfId="0" applyFill="1" applyBorder="1" applyAlignment="1">
      <alignment vertical="center" wrapText="1"/>
    </xf>
    <xf numFmtId="0" fontId="0" fillId="3" borderId="26" xfId="0" applyFill="1" applyBorder="1" applyAlignment="1">
      <alignment vertical="center" wrapText="1"/>
    </xf>
    <xf numFmtId="0" fontId="1" fillId="3" borderId="29" xfId="0" applyFont="1" applyFill="1" applyBorder="1" applyAlignment="1">
      <alignment horizontal="center" vertical="center" wrapText="1"/>
    </xf>
    <xf numFmtId="0" fontId="0" fillId="3" borderId="31" xfId="0" applyFill="1" applyBorder="1" applyAlignment="1">
      <alignment vertical="center" wrapText="1"/>
    </xf>
    <xf numFmtId="0" fontId="5" fillId="3" borderId="9" xfId="0" applyFont="1" applyFill="1" applyBorder="1"/>
  </cellXfs>
  <cellStyles count="3">
    <cellStyle name="Hyperlink" xfId="1" builtinId="8"/>
    <cellStyle name="Normal" xfId="0" builtinId="0"/>
    <cellStyle name="Percent" xfId="2" builtinId="5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242886</xdr:colOff>
      <xdr:row>0</xdr:row>
      <xdr:rowOff>638175</xdr:rowOff>
    </xdr:from>
    <xdr:to>
      <xdr:col>20</xdr:col>
      <xdr:colOff>357186</xdr:colOff>
      <xdr:row>0</xdr:row>
      <xdr:rowOff>1085850</xdr:rowOff>
    </xdr:to>
    <xdr:sp macro="[0]!Go" textlink="">
      <xdr:nvSpPr>
        <xdr:cNvPr id="5" name="Rounded Rectangle 4"/>
        <xdr:cNvSpPr/>
      </xdr:nvSpPr>
      <xdr:spPr>
        <a:xfrm>
          <a:off x="8891586" y="638175"/>
          <a:ext cx="1333500" cy="4476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GB" sz="1100"/>
            <a:t>Abra-kadabra!</a:t>
          </a:r>
        </a:p>
      </xdr:txBody>
    </xdr:sp>
    <xdr:clientData/>
  </xdr:twoCellAnchor>
  <xdr:twoCellAnchor>
    <xdr:from>
      <xdr:col>0</xdr:col>
      <xdr:colOff>0</xdr:colOff>
      <xdr:row>0</xdr:row>
      <xdr:rowOff>409575</xdr:rowOff>
    </xdr:from>
    <xdr:to>
      <xdr:col>5</xdr:col>
      <xdr:colOff>0</xdr:colOff>
      <xdr:row>0</xdr:row>
      <xdr:rowOff>1885575</xdr:rowOff>
    </xdr:to>
    <xdr:sp macro="" textlink="">
      <xdr:nvSpPr>
        <xdr:cNvPr id="8" name="Rectangle 7"/>
        <xdr:cNvSpPr/>
      </xdr:nvSpPr>
      <xdr:spPr>
        <a:xfrm>
          <a:off x="0" y="409575"/>
          <a:ext cx="1495425" cy="147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GB" sz="1100" u="sng"/>
            <a:t>Step 1</a:t>
          </a:r>
        </a:p>
        <a:p>
          <a:pPr algn="l"/>
          <a:r>
            <a:rPr lang="en-GB" sz="1100" u="none"/>
            <a:t>- View readme tab</a:t>
          </a:r>
        </a:p>
        <a:p>
          <a:pPr algn="l"/>
          <a:r>
            <a:rPr lang="en-GB" sz="1100" u="none"/>
            <a:t>- Enter the section lengths</a:t>
          </a:r>
        </a:p>
        <a:p>
          <a:pPr algn="l"/>
          <a:r>
            <a:rPr lang="en-GB" sz="1100" u="none"/>
            <a:t>- Enter</a:t>
          </a:r>
          <a:r>
            <a:rPr lang="en-GB" sz="1100" u="none" baseline="0"/>
            <a:t> any additional Pd (remember that there's already an allowance for fittings from the settings tab)</a:t>
          </a:r>
          <a:endParaRPr lang="en-GB" sz="1100" u="none"/>
        </a:p>
        <a:p>
          <a:pPr algn="l"/>
          <a:r>
            <a:rPr lang="en-GB" sz="1100" u="none"/>
            <a:t>NB: Don't leave empty rows between sections</a:t>
          </a:r>
        </a:p>
      </xdr:txBody>
    </xdr:sp>
    <xdr:clientData/>
  </xdr:twoCellAnchor>
  <xdr:twoCellAnchor>
    <xdr:from>
      <xdr:col>5</xdr:col>
      <xdr:colOff>0</xdr:colOff>
      <xdr:row>0</xdr:row>
      <xdr:rowOff>409575</xdr:rowOff>
    </xdr:from>
    <xdr:to>
      <xdr:col>16</xdr:col>
      <xdr:colOff>571500</xdr:colOff>
      <xdr:row>0</xdr:row>
      <xdr:rowOff>1885575</xdr:rowOff>
    </xdr:to>
    <xdr:sp macro="" textlink="">
      <xdr:nvSpPr>
        <xdr:cNvPr id="9" name="Rectangle 8"/>
        <xdr:cNvSpPr/>
      </xdr:nvSpPr>
      <xdr:spPr>
        <a:xfrm>
          <a:off x="1495425" y="409575"/>
          <a:ext cx="5695950" cy="14760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GB" sz="1100" u="sng"/>
            <a:t>Step 2 - Schematic Configuration</a:t>
          </a:r>
        </a:p>
        <a:p>
          <a:pPr algn="l"/>
          <a:r>
            <a:rPr lang="en-GB" sz="1100" u="none" baseline="0"/>
            <a:t>- Enter the sub-sections fed from each section</a:t>
          </a:r>
        </a:p>
        <a:p>
          <a:pPr algn="l"/>
          <a:r>
            <a:rPr lang="en-GB" sz="1100" u="none" baseline="0"/>
            <a:t>- Add an optional description to help you keep track of the different sections</a:t>
          </a:r>
        </a:p>
        <a:p>
          <a:pPr algn="l"/>
          <a:r>
            <a:rPr lang="en-GB" sz="1100" u="none" baseline="0"/>
            <a:t>- Enter the kW load, number of gas taps and number of gas cookers connected directly to this section</a:t>
          </a:r>
        </a:p>
        <a:p>
          <a:pPr algn="l"/>
          <a:r>
            <a:rPr lang="en-GB" sz="1100" u="none" baseline="0"/>
            <a:t>(don't  worry about downstream/upstream loads, they'll be automatically included )</a:t>
          </a:r>
          <a:endParaRPr lang="en-GB" sz="1100" u="none"/>
        </a:p>
      </xdr:txBody>
    </xdr:sp>
    <xdr:clientData/>
  </xdr:twoCellAnchor>
  <xdr:twoCellAnchor>
    <xdr:from>
      <xdr:col>17</xdr:col>
      <xdr:colOff>9524</xdr:colOff>
      <xdr:row>0</xdr:row>
      <xdr:rowOff>409575</xdr:rowOff>
    </xdr:from>
    <xdr:to>
      <xdr:col>22</xdr:col>
      <xdr:colOff>0</xdr:colOff>
      <xdr:row>0</xdr:row>
      <xdr:rowOff>1885575</xdr:rowOff>
    </xdr:to>
    <xdr:sp macro="" textlink="">
      <xdr:nvSpPr>
        <xdr:cNvPr id="10" name="Rectangle 9"/>
        <xdr:cNvSpPr/>
      </xdr:nvSpPr>
      <xdr:spPr>
        <a:xfrm>
          <a:off x="7219949" y="409575"/>
          <a:ext cx="3038476" cy="147600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GB" sz="1100" u="sng"/>
            <a:t>Step 3</a:t>
          </a:r>
          <a:r>
            <a:rPr lang="en-GB" sz="1100" u="sng" baseline="0"/>
            <a:t> </a:t>
          </a:r>
          <a:r>
            <a:rPr lang="en-GB" sz="1100" u="sng"/>
            <a:t> </a:t>
          </a:r>
        </a:p>
        <a:p>
          <a:pPr algn="l"/>
          <a:r>
            <a:rPr lang="en-GB" sz="1100" u="none"/>
            <a:t>- Press the magic button</a:t>
          </a:r>
        </a:p>
        <a:p>
          <a:pPr algn="l"/>
          <a:r>
            <a:rPr lang="en-GB" sz="1100" u="none"/>
            <a:t>- See Updated</a:t>
          </a:r>
          <a:r>
            <a:rPr lang="en-GB" sz="1100" u="none" baseline="0"/>
            <a:t> Pipe Sizes</a:t>
          </a:r>
          <a:endParaRPr lang="en-GB" sz="1100" u="none"/>
        </a:p>
      </xdr:txBody>
    </xdr:sp>
    <xdr:clientData/>
  </xdr:twoCellAnchor>
  <xdr:twoCellAnchor>
    <xdr:from>
      <xdr:col>18</xdr:col>
      <xdr:colOff>242886</xdr:colOff>
      <xdr:row>0</xdr:row>
      <xdr:rowOff>1047750</xdr:rowOff>
    </xdr:from>
    <xdr:to>
      <xdr:col>20</xdr:col>
      <xdr:colOff>357186</xdr:colOff>
      <xdr:row>0</xdr:row>
      <xdr:rowOff>1495425</xdr:rowOff>
    </xdr:to>
    <xdr:sp macro="[0]!Go" textlink="">
      <xdr:nvSpPr>
        <xdr:cNvPr id="11" name="Rounded Rectangle 10"/>
        <xdr:cNvSpPr/>
      </xdr:nvSpPr>
      <xdr:spPr>
        <a:xfrm>
          <a:off x="8062911" y="1047750"/>
          <a:ext cx="1333500" cy="4476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GB" sz="1100"/>
            <a:t>Abra-kadabra!</a:t>
          </a:r>
        </a:p>
      </xdr:txBody>
    </xdr:sp>
    <xdr:clientData/>
  </xdr:twoCellAnchor>
  <xdr:twoCellAnchor>
    <xdr:from>
      <xdr:col>22</xdr:col>
      <xdr:colOff>609599</xdr:colOff>
      <xdr:row>0</xdr:row>
      <xdr:rowOff>409575</xdr:rowOff>
    </xdr:from>
    <xdr:to>
      <xdr:col>29</xdr:col>
      <xdr:colOff>600075</xdr:colOff>
      <xdr:row>0</xdr:row>
      <xdr:rowOff>1885575</xdr:rowOff>
    </xdr:to>
    <xdr:sp macro="" textlink="">
      <xdr:nvSpPr>
        <xdr:cNvPr id="12" name="Rectangle 11"/>
        <xdr:cNvSpPr/>
      </xdr:nvSpPr>
      <xdr:spPr>
        <a:xfrm>
          <a:off x="10868024" y="409575"/>
          <a:ext cx="5095876" cy="147600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GB" sz="1100" u="sng"/>
            <a:t>Optional Step  </a:t>
          </a:r>
        </a:p>
        <a:p>
          <a:pPr algn="l"/>
          <a:r>
            <a:rPr lang="en-GB" sz="1100" u="none"/>
            <a:t>- Enjoy the bonus circuit information below</a:t>
          </a:r>
        </a:p>
      </xdr:txBody>
    </xdr:sp>
    <xdr:clientData/>
  </xdr:twoCellAnchor>
  <xdr:twoCellAnchor>
    <xdr:from>
      <xdr:col>30</xdr:col>
      <xdr:colOff>152400</xdr:colOff>
      <xdr:row>0</xdr:row>
      <xdr:rowOff>609600</xdr:rowOff>
    </xdr:from>
    <xdr:to>
      <xdr:col>32</xdr:col>
      <xdr:colOff>553200</xdr:colOff>
      <xdr:row>2</xdr:row>
      <xdr:rowOff>76950</xdr:rowOff>
    </xdr:to>
    <xdr:sp macro="[0]!_xludf.Clear" textlink="">
      <xdr:nvSpPr>
        <xdr:cNvPr id="13" name="&quot;No&quot; Symbol 12"/>
        <xdr:cNvSpPr/>
      </xdr:nvSpPr>
      <xdr:spPr>
        <a:xfrm>
          <a:off x="16125825" y="609600"/>
          <a:ext cx="1620000" cy="1772400"/>
        </a:xfrm>
        <a:prstGeom prst="noSmoking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2000">
              <a:solidFill>
                <a:schemeClr val="tx1"/>
              </a:solidFill>
            </a:rPr>
            <a:t>Clear</a:t>
          </a:r>
        </a:p>
        <a:p>
          <a:pPr algn="ctr"/>
          <a:r>
            <a:rPr lang="en-GB" sz="2000">
              <a:solidFill>
                <a:schemeClr val="tx1"/>
              </a:solidFill>
            </a:rPr>
            <a:t>Outputs</a:t>
          </a:r>
        </a:p>
      </xdr:txBody>
    </xdr:sp>
    <xdr:clientData/>
  </xdr:twoCellAnchor>
  <xdr:twoCellAnchor>
    <xdr:from>
      <xdr:col>0</xdr:col>
      <xdr:colOff>19051</xdr:colOff>
      <xdr:row>0</xdr:row>
      <xdr:rowOff>9525</xdr:rowOff>
    </xdr:from>
    <xdr:to>
      <xdr:col>22</xdr:col>
      <xdr:colOff>9526</xdr:colOff>
      <xdr:row>0</xdr:row>
      <xdr:rowOff>390525</xdr:rowOff>
    </xdr:to>
    <xdr:sp macro="" textlink="">
      <xdr:nvSpPr>
        <xdr:cNvPr id="14" name="Rectangle 13"/>
        <xdr:cNvSpPr/>
      </xdr:nvSpPr>
      <xdr:spPr>
        <a:xfrm>
          <a:off x="19051" y="9525"/>
          <a:ext cx="10248900" cy="38100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/>
            <a:t>Before</a:t>
          </a:r>
          <a:r>
            <a:rPr lang="en-GB" sz="1100" baseline="0"/>
            <a:t> you begin, it's a good idea to have a schematic of the system sketched out (see example on </a:t>
          </a:r>
          <a:r>
            <a:rPr lang="en-GB" sz="1100" i="1" baseline="0"/>
            <a:t>Schematic Sketch</a:t>
          </a:r>
          <a:r>
            <a:rPr lang="en-GB" sz="1100" baseline="0"/>
            <a:t> tab)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33132</xdr:colOff>
      <xdr:row>1</xdr:row>
      <xdr:rowOff>16566</xdr:rowOff>
    </xdr:from>
    <xdr:to>
      <xdr:col>10</xdr:col>
      <xdr:colOff>452232</xdr:colOff>
      <xdr:row>57</xdr:row>
      <xdr:rowOff>111816</xdr:rowOff>
    </xdr:to>
    <xdr:pic>
      <xdr:nvPicPr>
        <xdr:cNvPr id="205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3132" y="256762"/>
          <a:ext cx="6548230" cy="937177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90"/>
  <sheetViews>
    <sheetView showGridLines="0" tabSelected="1" zoomScale="115" zoomScaleNormal="115" workbookViewId="0">
      <selection sqref="A1:XFD1"/>
    </sheetView>
  </sheetViews>
  <sheetFormatPr defaultRowHeight="12.75" x14ac:dyDescent="0.2"/>
  <cols>
    <col min="1" max="1" width="17" customWidth="1"/>
    <col min="3" max="3" width="9.7109375" customWidth="1"/>
    <col min="7" max="7" width="11" bestFit="1" customWidth="1"/>
    <col min="8" max="8" width="12.42578125" bestFit="1" customWidth="1"/>
    <col min="12" max="12" width="35.42578125" bestFit="1" customWidth="1"/>
  </cols>
  <sheetData>
    <row r="1" spans="1:2" s="119" customFormat="1" ht="19.5" customHeight="1" thickBot="1" x14ac:dyDescent="0.25">
      <c r="A1" s="118" t="s">
        <v>58</v>
      </c>
    </row>
    <row r="2" spans="1:2" ht="13.5" thickBot="1" x14ac:dyDescent="0.25"/>
    <row r="3" spans="1:2" s="114" customFormat="1" ht="13.5" thickBot="1" x14ac:dyDescent="0.25">
      <c r="A3" s="114" t="s">
        <v>8</v>
      </c>
      <c r="B3" s="115"/>
    </row>
    <row r="4" spans="1:2" x14ac:dyDescent="0.2">
      <c r="A4" s="1" t="s">
        <v>49</v>
      </c>
    </row>
    <row r="5" spans="1:2" x14ac:dyDescent="0.2">
      <c r="A5" t="s">
        <v>50</v>
      </c>
    </row>
    <row r="6" spans="1:2" ht="13.5" thickBot="1" x14ac:dyDescent="0.25"/>
    <row r="7" spans="1:2" s="115" customFormat="1" ht="13.5" thickBot="1" x14ac:dyDescent="0.25">
      <c r="A7" s="114" t="s">
        <v>5</v>
      </c>
    </row>
    <row r="8" spans="1:2" s="120" customFormat="1" x14ac:dyDescent="0.2">
      <c r="A8" s="120" t="s">
        <v>52</v>
      </c>
    </row>
    <row r="9" spans="1:2" s="120" customFormat="1" x14ac:dyDescent="0.2">
      <c r="A9" s="120" t="s">
        <v>55</v>
      </c>
    </row>
    <row r="10" spans="1:2" s="120" customFormat="1" x14ac:dyDescent="0.2">
      <c r="A10" s="120" t="s">
        <v>53</v>
      </c>
    </row>
    <row r="11" spans="1:2" s="120" customFormat="1" x14ac:dyDescent="0.2">
      <c r="A11" s="120" t="s">
        <v>54</v>
      </c>
    </row>
    <row r="12" spans="1:2" s="112" customFormat="1" x14ac:dyDescent="0.2">
      <c r="A12" s="112" t="s">
        <v>65</v>
      </c>
    </row>
    <row r="13" spans="1:2" s="112" customFormat="1" x14ac:dyDescent="0.2">
      <c r="A13" s="112" t="s">
        <v>51</v>
      </c>
    </row>
    <row r="14" spans="1:2" s="113" customFormat="1" ht="13.5" thickBot="1" x14ac:dyDescent="0.25">
      <c r="A14" s="113" t="s">
        <v>33</v>
      </c>
    </row>
    <row r="15" spans="1:2" ht="13.5" thickBot="1" x14ac:dyDescent="0.25"/>
    <row r="16" spans="1:2" ht="21" customHeight="1" x14ac:dyDescent="0.2">
      <c r="A16" s="116" t="s">
        <v>28</v>
      </c>
      <c r="B16" s="117"/>
    </row>
    <row r="17" spans="1:4" x14ac:dyDescent="0.2">
      <c r="A17" s="95" t="s">
        <v>29</v>
      </c>
      <c r="B17" s="92" t="s">
        <v>40</v>
      </c>
    </row>
    <row r="18" spans="1:4" ht="13.5" thickBot="1" x14ac:dyDescent="0.25">
      <c r="A18" s="96">
        <v>21</v>
      </c>
      <c r="B18" s="59">
        <f>A18*100</f>
        <v>2100</v>
      </c>
    </row>
    <row r="19" spans="1:4" ht="13.5" thickBot="1" x14ac:dyDescent="0.25"/>
    <row r="20" spans="1:4" ht="24" customHeight="1" x14ac:dyDescent="0.2">
      <c r="A20" s="116" t="s">
        <v>30</v>
      </c>
      <c r="B20" s="117"/>
    </row>
    <row r="21" spans="1:4" x14ac:dyDescent="0.2">
      <c r="A21" s="95" t="s">
        <v>29</v>
      </c>
      <c r="B21" s="92"/>
    </row>
    <row r="22" spans="1:4" ht="13.5" thickBot="1" x14ac:dyDescent="0.25">
      <c r="A22" s="97">
        <f>IF(A18=21,1,IF(A18&gt;21,A18*0.1,"Insufficient pressure"))</f>
        <v>1</v>
      </c>
      <c r="B22" s="59">
        <f>A22*100</f>
        <v>100</v>
      </c>
    </row>
    <row r="23" spans="1:4" ht="13.5" thickBot="1" x14ac:dyDescent="0.25"/>
    <row r="24" spans="1:4" s="94" customFormat="1" ht="28.5" customHeight="1" x14ac:dyDescent="0.2">
      <c r="A24" s="100" t="s">
        <v>31</v>
      </c>
      <c r="C24" s="127" t="s">
        <v>56</v>
      </c>
      <c r="D24" s="128"/>
    </row>
    <row r="25" spans="1:4" x14ac:dyDescent="0.2">
      <c r="A25" s="98" t="s">
        <v>32</v>
      </c>
      <c r="C25" s="129" t="s">
        <v>57</v>
      </c>
      <c r="D25" s="130"/>
    </row>
    <row r="26" spans="1:4" ht="13.5" thickBot="1" x14ac:dyDescent="0.25">
      <c r="A26" s="99">
        <v>45</v>
      </c>
      <c r="C26" s="131">
        <v>0.1</v>
      </c>
      <c r="D26" s="132"/>
    </row>
    <row r="27" spans="1:4" ht="13.5" thickBot="1" x14ac:dyDescent="0.25"/>
    <row r="28" spans="1:4" ht="30.75" customHeight="1" x14ac:dyDescent="0.2">
      <c r="A28" s="121" t="s">
        <v>18</v>
      </c>
      <c r="B28" s="122"/>
      <c r="C28" s="122"/>
      <c r="D28" s="123"/>
    </row>
    <row r="29" spans="1:4" s="13" customFormat="1" ht="25.5" x14ac:dyDescent="0.2">
      <c r="A29" s="87" t="s">
        <v>0</v>
      </c>
      <c r="B29" s="84" t="s">
        <v>19</v>
      </c>
      <c r="C29" s="84" t="s">
        <v>20</v>
      </c>
      <c r="D29" s="88" t="s">
        <v>24</v>
      </c>
    </row>
    <row r="30" spans="1:4" x14ac:dyDescent="0.2">
      <c r="A30" s="89" t="s">
        <v>21</v>
      </c>
      <c r="B30" s="86">
        <v>0.08</v>
      </c>
      <c r="C30" s="55">
        <f>DU_WHB/1000</f>
        <v>8.0000000000000007E-5</v>
      </c>
      <c r="D30" s="56">
        <f>C30*3600</f>
        <v>0.28800000000000003</v>
      </c>
    </row>
    <row r="31" spans="1:4" ht="13.5" thickBot="1" x14ac:dyDescent="0.25">
      <c r="A31" s="90" t="s">
        <v>22</v>
      </c>
      <c r="B31" s="91">
        <v>0.6</v>
      </c>
      <c r="C31" s="58">
        <f>DU_WC/1000</f>
        <v>5.9999999999999995E-4</v>
      </c>
      <c r="D31" s="59">
        <f>C31*3600</f>
        <v>2.1599999999999997</v>
      </c>
    </row>
    <row r="32" spans="1:4" ht="13.5" thickBot="1" x14ac:dyDescent="0.25"/>
    <row r="33" spans="1:6" s="94" customFormat="1" ht="21" customHeight="1" x14ac:dyDescent="0.2">
      <c r="A33" s="124" t="s">
        <v>59</v>
      </c>
      <c r="B33" s="125"/>
      <c r="C33" s="125"/>
      <c r="D33" s="126"/>
    </row>
    <row r="34" spans="1:6" x14ac:dyDescent="0.2">
      <c r="A34" s="89"/>
      <c r="B34" s="85" t="s">
        <v>25</v>
      </c>
      <c r="C34" s="85" t="s">
        <v>23</v>
      </c>
      <c r="D34" s="92" t="s">
        <v>26</v>
      </c>
    </row>
    <row r="35" spans="1:6" ht="13.5" thickBot="1" x14ac:dyDescent="0.25">
      <c r="A35" s="93">
        <v>37.5</v>
      </c>
      <c r="B35" s="58">
        <f>A35*1000</f>
        <v>37500</v>
      </c>
      <c r="C35" s="58">
        <f>1/B35</f>
        <v>2.6666666666666667E-5</v>
      </c>
      <c r="D35" s="59">
        <f>C35*3600</f>
        <v>9.6000000000000002E-2</v>
      </c>
      <c r="F35" t="s">
        <v>27</v>
      </c>
    </row>
    <row r="37" spans="1:6" x14ac:dyDescent="0.2">
      <c r="A37" t="s">
        <v>7</v>
      </c>
    </row>
    <row r="58" spans="1:7" x14ac:dyDescent="0.2">
      <c r="A58" s="2"/>
      <c r="B58" s="2"/>
      <c r="C58" s="2"/>
      <c r="D58" s="2"/>
      <c r="E58" s="2"/>
      <c r="F58" s="2"/>
      <c r="G58" s="2"/>
    </row>
    <row r="59" spans="1:7" x14ac:dyDescent="0.2">
      <c r="A59" s="11"/>
      <c r="B59" s="11"/>
      <c r="C59" s="11"/>
      <c r="D59" s="11"/>
      <c r="E59" s="11"/>
      <c r="F59" s="2"/>
      <c r="G59" s="2"/>
    </row>
    <row r="60" spans="1:7" x14ac:dyDescent="0.2">
      <c r="A60" s="11"/>
      <c r="B60" s="11"/>
      <c r="C60" s="11"/>
      <c r="D60" s="11"/>
      <c r="E60" s="11"/>
      <c r="F60" s="2"/>
      <c r="G60" s="2"/>
    </row>
    <row r="61" spans="1:7" x14ac:dyDescent="0.2">
      <c r="A61" s="11"/>
      <c r="B61" s="11"/>
      <c r="C61" s="11"/>
      <c r="D61" s="11"/>
      <c r="E61" s="11"/>
      <c r="F61" s="2"/>
      <c r="G61" s="2"/>
    </row>
    <row r="62" spans="1:7" x14ac:dyDescent="0.2">
      <c r="A62" s="11"/>
      <c r="B62" s="11"/>
      <c r="C62" s="11"/>
      <c r="D62" s="11"/>
      <c r="E62" s="11"/>
      <c r="F62" s="2"/>
      <c r="G62" s="2"/>
    </row>
    <row r="63" spans="1:7" x14ac:dyDescent="0.2">
      <c r="A63" s="11"/>
      <c r="B63" s="11"/>
      <c r="C63" s="11"/>
      <c r="D63" s="11"/>
      <c r="E63" s="11"/>
      <c r="F63" s="2"/>
      <c r="G63" s="2"/>
    </row>
    <row r="64" spans="1:7" x14ac:dyDescent="0.2">
      <c r="A64" s="11"/>
      <c r="B64" s="11"/>
      <c r="C64" s="11"/>
      <c r="D64" s="11"/>
      <c r="E64" s="11"/>
      <c r="F64" s="2"/>
      <c r="G64" s="2"/>
    </row>
    <row r="65" spans="1:7" x14ac:dyDescent="0.2">
      <c r="A65" s="11"/>
      <c r="B65" s="11"/>
      <c r="C65" s="11"/>
      <c r="D65" s="11"/>
      <c r="E65" s="11"/>
      <c r="F65" s="2"/>
      <c r="G65" s="2"/>
    </row>
    <row r="66" spans="1:7" x14ac:dyDescent="0.2">
      <c r="A66" s="11"/>
      <c r="B66" s="11"/>
      <c r="C66" s="11"/>
      <c r="D66" s="11"/>
      <c r="E66" s="11"/>
      <c r="F66" s="2"/>
      <c r="G66" s="2"/>
    </row>
    <row r="67" spans="1:7" x14ac:dyDescent="0.2">
      <c r="A67" s="11"/>
      <c r="B67" s="11"/>
      <c r="C67" s="11"/>
      <c r="D67" s="11"/>
      <c r="E67" s="11"/>
      <c r="F67" s="2"/>
      <c r="G67" s="2"/>
    </row>
    <row r="68" spans="1:7" x14ac:dyDescent="0.2">
      <c r="A68" s="11"/>
      <c r="B68" s="11"/>
      <c r="C68" s="11"/>
      <c r="D68" s="11"/>
      <c r="E68" s="11"/>
      <c r="F68" s="2"/>
      <c r="G68" s="2"/>
    </row>
    <row r="69" spans="1:7" x14ac:dyDescent="0.2">
      <c r="A69" s="11"/>
      <c r="B69" s="11"/>
      <c r="C69" s="11"/>
      <c r="D69" s="11"/>
      <c r="E69" s="11"/>
      <c r="F69" s="2"/>
      <c r="G69" s="2"/>
    </row>
    <row r="70" spans="1:7" x14ac:dyDescent="0.2">
      <c r="A70" s="11"/>
      <c r="B70" s="11"/>
      <c r="C70" s="11"/>
      <c r="D70" s="11"/>
      <c r="E70" s="11"/>
      <c r="F70" s="2"/>
      <c r="G70" s="2"/>
    </row>
    <row r="71" spans="1:7" x14ac:dyDescent="0.2">
      <c r="A71" s="11"/>
      <c r="B71" s="11"/>
      <c r="C71" s="11"/>
      <c r="D71" s="11"/>
      <c r="E71" s="11"/>
      <c r="F71" s="2"/>
      <c r="G71" s="2"/>
    </row>
    <row r="72" spans="1:7" x14ac:dyDescent="0.2">
      <c r="A72" s="11"/>
      <c r="B72" s="11"/>
      <c r="C72" s="11"/>
      <c r="D72" s="11"/>
      <c r="E72" s="11"/>
      <c r="F72" s="2"/>
      <c r="G72" s="2"/>
    </row>
    <row r="73" spans="1:7" x14ac:dyDescent="0.2">
      <c r="A73" s="11"/>
      <c r="B73" s="11"/>
      <c r="C73" s="11"/>
      <c r="D73" s="11"/>
      <c r="E73" s="11"/>
      <c r="F73" s="2"/>
      <c r="G73" s="2"/>
    </row>
    <row r="74" spans="1:7" x14ac:dyDescent="0.2">
      <c r="A74" s="11"/>
      <c r="B74" s="11"/>
      <c r="C74" s="11"/>
      <c r="D74" s="11"/>
      <c r="E74" s="11"/>
      <c r="F74" s="2"/>
      <c r="G74" s="2"/>
    </row>
    <row r="75" spans="1:7" x14ac:dyDescent="0.2">
      <c r="A75" s="11"/>
      <c r="B75" s="11"/>
      <c r="C75" s="11"/>
      <c r="D75" s="11"/>
      <c r="E75" s="11"/>
      <c r="F75" s="2"/>
      <c r="G75" s="2"/>
    </row>
    <row r="76" spans="1:7" x14ac:dyDescent="0.2">
      <c r="A76" s="11"/>
      <c r="B76" s="11"/>
      <c r="C76" s="11"/>
      <c r="D76" s="11"/>
      <c r="E76" s="11"/>
      <c r="F76" s="2"/>
      <c r="G76" s="2"/>
    </row>
    <row r="77" spans="1:7" x14ac:dyDescent="0.2">
      <c r="A77" s="11"/>
      <c r="B77" s="11"/>
      <c r="C77" s="11"/>
      <c r="D77" s="11"/>
      <c r="E77" s="11"/>
      <c r="F77" s="2"/>
      <c r="G77" s="2"/>
    </row>
    <row r="78" spans="1:7" x14ac:dyDescent="0.2">
      <c r="A78" s="11"/>
      <c r="B78" s="11"/>
      <c r="C78" s="11"/>
      <c r="D78" s="11"/>
      <c r="E78" s="11"/>
      <c r="F78" s="2"/>
      <c r="G78" s="2"/>
    </row>
    <row r="79" spans="1:7" x14ac:dyDescent="0.2">
      <c r="A79" s="11"/>
      <c r="B79" s="11"/>
      <c r="C79" s="11"/>
      <c r="D79" s="11"/>
      <c r="E79" s="11"/>
      <c r="F79" s="2"/>
      <c r="G79" s="2"/>
    </row>
    <row r="80" spans="1:7" x14ac:dyDescent="0.2">
      <c r="A80" s="11"/>
      <c r="B80" s="11"/>
      <c r="C80" s="11"/>
      <c r="D80" s="11"/>
      <c r="E80" s="11"/>
      <c r="F80" s="2"/>
      <c r="G80" s="2"/>
    </row>
    <row r="81" spans="1:7" x14ac:dyDescent="0.2">
      <c r="A81" s="11"/>
      <c r="B81" s="11"/>
      <c r="C81" s="11"/>
      <c r="D81" s="11"/>
      <c r="E81" s="11"/>
      <c r="F81" s="2"/>
      <c r="G81" s="2"/>
    </row>
    <row r="82" spans="1:7" x14ac:dyDescent="0.2">
      <c r="A82" s="11"/>
      <c r="B82" s="11"/>
      <c r="C82" s="11"/>
      <c r="D82" s="11"/>
      <c r="E82" s="11"/>
      <c r="F82" s="2"/>
      <c r="G82" s="2"/>
    </row>
    <row r="83" spans="1:7" x14ac:dyDescent="0.2">
      <c r="A83" s="11"/>
      <c r="B83" s="11"/>
      <c r="C83" s="11"/>
      <c r="D83" s="11"/>
      <c r="E83" s="11"/>
      <c r="F83" s="2"/>
      <c r="G83" s="2"/>
    </row>
    <row r="84" spans="1:7" x14ac:dyDescent="0.2">
      <c r="A84" s="11"/>
      <c r="B84" s="11"/>
      <c r="C84" s="11"/>
      <c r="D84" s="11"/>
      <c r="E84" s="11"/>
      <c r="F84" s="2"/>
      <c r="G84" s="2"/>
    </row>
    <row r="85" spans="1:7" x14ac:dyDescent="0.2">
      <c r="A85" s="11"/>
      <c r="B85" s="11"/>
      <c r="C85" s="11"/>
      <c r="D85" s="11"/>
      <c r="E85" s="11"/>
      <c r="F85" s="2"/>
      <c r="G85" s="2"/>
    </row>
    <row r="86" spans="1:7" x14ac:dyDescent="0.2">
      <c r="A86" s="11"/>
      <c r="B86" s="11"/>
      <c r="C86" s="11"/>
      <c r="D86" s="11"/>
      <c r="E86" s="11"/>
      <c r="F86" s="2"/>
      <c r="G86" s="2"/>
    </row>
    <row r="87" spans="1:7" x14ac:dyDescent="0.2">
      <c r="A87" s="11"/>
      <c r="B87" s="11"/>
      <c r="C87" s="11"/>
      <c r="D87" s="11"/>
      <c r="E87" s="11"/>
      <c r="F87" s="2"/>
      <c r="G87" s="2"/>
    </row>
    <row r="88" spans="1:7" x14ac:dyDescent="0.2">
      <c r="A88" s="11"/>
      <c r="B88" s="11"/>
      <c r="C88" s="11"/>
      <c r="D88" s="11"/>
      <c r="E88" s="11"/>
      <c r="F88" s="2"/>
      <c r="G88" s="2"/>
    </row>
    <row r="89" spans="1:7" x14ac:dyDescent="0.2">
      <c r="A89" s="2"/>
      <c r="B89" s="2"/>
      <c r="C89" s="2"/>
      <c r="D89" s="2"/>
      <c r="E89" s="2"/>
      <c r="F89" s="2"/>
      <c r="G89" s="2"/>
    </row>
    <row r="90" spans="1:7" x14ac:dyDescent="0.2">
      <c r="A90" s="2"/>
      <c r="B90" s="2"/>
      <c r="C90" s="2"/>
      <c r="D90" s="2"/>
      <c r="E90" s="2"/>
      <c r="F90" s="2"/>
      <c r="G90" s="2"/>
    </row>
  </sheetData>
  <mergeCells count="17">
    <mergeCell ref="A28:D28"/>
    <mergeCell ref="A33:D33"/>
    <mergeCell ref="C24:D24"/>
    <mergeCell ref="C25:D25"/>
    <mergeCell ref="C26:D26"/>
    <mergeCell ref="A13:XFD13"/>
    <mergeCell ref="A14:XFD14"/>
    <mergeCell ref="A7:XFD7"/>
    <mergeCell ref="A20:B20"/>
    <mergeCell ref="A1:XFD1"/>
    <mergeCell ref="A3:XFD3"/>
    <mergeCell ref="A16:B16"/>
    <mergeCell ref="A8:XFD8"/>
    <mergeCell ref="A9:XFD9"/>
    <mergeCell ref="A10:XFD10"/>
    <mergeCell ref="A11:XFD11"/>
    <mergeCell ref="A12:XFD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D54"/>
  <sheetViews>
    <sheetView showGridLines="0" zoomScaleNormal="100" zoomScaleSheetLayoutView="100" workbookViewId="0">
      <pane xSplit="5" ySplit="4" topLeftCell="F5" activePane="bottomRight" state="frozen"/>
      <selection pane="topRight" activeCell="D1" sqref="D1"/>
      <selection pane="bottomLeft" activeCell="A4" sqref="A4"/>
      <selection pane="bottomRight" activeCell="B5" sqref="B5"/>
    </sheetView>
  </sheetViews>
  <sheetFormatPr defaultRowHeight="12.75" x14ac:dyDescent="0.2"/>
  <cols>
    <col min="1" max="1" width="7.5703125" style="21" customWidth="1"/>
    <col min="2" max="2" width="7.85546875" style="21" customWidth="1"/>
    <col min="3" max="3" width="6.5703125" style="21" customWidth="1"/>
    <col min="4" max="5" width="6.42578125" style="21" customWidth="1"/>
    <col min="6" max="10" width="4.28515625" style="11" customWidth="1"/>
    <col min="11" max="11" width="15.42578125" style="11" customWidth="1"/>
    <col min="12" max="13" width="7.140625" style="11" customWidth="1"/>
    <col min="14" max="14" width="8.85546875" style="11" customWidth="1"/>
    <col min="15" max="16" width="7.140625" style="11" customWidth="1"/>
    <col min="17" max="17" width="8.85546875" style="11" customWidth="1"/>
    <col min="18" max="18" width="9.140625" style="11"/>
    <col min="19" max="19" width="7.140625" style="11" customWidth="1"/>
    <col min="20" max="20" width="7" style="11" customWidth="1"/>
    <col min="21" max="21" width="7.42578125" style="11" customWidth="1"/>
    <col min="22" max="22" width="9.140625" style="11"/>
    <col min="23" max="23" width="3.7109375" style="11" customWidth="1"/>
    <col min="24" max="24" width="21.7109375" style="11" customWidth="1"/>
    <col min="25" max="16384" width="9.140625" style="11"/>
  </cols>
  <sheetData>
    <row r="1" spans="1:30" ht="150" customHeight="1" thickBot="1" x14ac:dyDescent="0.25">
      <c r="A1" s="141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02"/>
      <c r="S1" s="102"/>
      <c r="T1" s="102"/>
      <c r="U1" s="102"/>
      <c r="V1" s="21">
        <f>Settings_ReadMe!A26</f>
        <v>45</v>
      </c>
    </row>
    <row r="2" spans="1:30" s="18" customFormat="1" ht="31.5" customHeight="1" x14ac:dyDescent="0.2">
      <c r="A2" s="143" t="s">
        <v>1</v>
      </c>
      <c r="B2" s="144" t="s">
        <v>13</v>
      </c>
      <c r="C2" s="136" t="s">
        <v>68</v>
      </c>
      <c r="D2" s="137"/>
      <c r="E2" s="145" t="s">
        <v>9</v>
      </c>
      <c r="F2" s="143" t="s">
        <v>3</v>
      </c>
      <c r="G2" s="144"/>
      <c r="H2" s="144"/>
      <c r="I2" s="144"/>
      <c r="J2" s="145"/>
      <c r="K2" s="134" t="s">
        <v>46</v>
      </c>
      <c r="L2" s="143" t="s">
        <v>11</v>
      </c>
      <c r="M2" s="149"/>
      <c r="N2" s="150"/>
      <c r="O2" s="151" t="s">
        <v>12</v>
      </c>
      <c r="P2" s="149"/>
      <c r="Q2" s="152"/>
      <c r="R2" s="133" t="s">
        <v>61</v>
      </c>
      <c r="S2" s="134"/>
      <c r="T2" s="134"/>
      <c r="U2" s="134"/>
      <c r="V2" s="135"/>
      <c r="X2" s="133" t="s">
        <v>48</v>
      </c>
      <c r="Y2" s="134"/>
      <c r="Z2" s="134"/>
      <c r="AA2" s="134"/>
      <c r="AB2" s="134"/>
      <c r="AC2" s="134"/>
      <c r="AD2" s="135"/>
    </row>
    <row r="3" spans="1:30" s="19" customFormat="1" ht="57.75" customHeight="1" x14ac:dyDescent="0.2">
      <c r="A3" s="146"/>
      <c r="B3" s="147"/>
      <c r="C3" s="138"/>
      <c r="D3" s="139"/>
      <c r="E3" s="148"/>
      <c r="F3" s="146"/>
      <c r="G3" s="147"/>
      <c r="H3" s="147"/>
      <c r="I3" s="147"/>
      <c r="J3" s="148"/>
      <c r="K3" s="142"/>
      <c r="L3" s="103" t="s">
        <v>10</v>
      </c>
      <c r="M3" s="104" t="s">
        <v>15</v>
      </c>
      <c r="N3" s="105" t="s">
        <v>16</v>
      </c>
      <c r="O3" s="22" t="str">
        <f>L3</f>
        <v>kW Load</v>
      </c>
      <c r="P3" s="104" t="str">
        <f>M3</f>
        <v># Taps</v>
      </c>
      <c r="Q3" s="23" t="str">
        <f>N3</f>
        <v># Cookers</v>
      </c>
      <c r="R3" s="103" t="s">
        <v>17</v>
      </c>
      <c r="S3" s="104" t="s">
        <v>45</v>
      </c>
      <c r="T3" s="104" t="s">
        <v>41</v>
      </c>
      <c r="U3" s="104" t="s">
        <v>42</v>
      </c>
      <c r="V3" s="105" t="s">
        <v>60</v>
      </c>
      <c r="X3" s="103" t="s">
        <v>47</v>
      </c>
      <c r="Y3" s="104" t="s">
        <v>43</v>
      </c>
      <c r="Z3" s="104" t="s">
        <v>44</v>
      </c>
      <c r="AA3" s="104" t="s">
        <v>44</v>
      </c>
      <c r="AB3" s="104" t="s">
        <v>62</v>
      </c>
      <c r="AC3" s="104" t="s">
        <v>62</v>
      </c>
      <c r="AD3" s="105" t="s">
        <v>66</v>
      </c>
    </row>
    <row r="4" spans="1:30" s="20" customFormat="1" ht="13.5" thickBot="1" x14ac:dyDescent="0.25">
      <c r="A4" s="24" t="s">
        <v>2</v>
      </c>
      <c r="B4" s="25" t="s">
        <v>14</v>
      </c>
      <c r="C4" s="29" t="s">
        <v>40</v>
      </c>
      <c r="D4" s="29" t="s">
        <v>29</v>
      </c>
      <c r="E4" s="26" t="s">
        <v>6</v>
      </c>
      <c r="F4" s="24" t="s">
        <v>2</v>
      </c>
      <c r="G4" s="25" t="s">
        <v>2</v>
      </c>
      <c r="H4" s="25" t="s">
        <v>2</v>
      </c>
      <c r="I4" s="25" t="s">
        <v>2</v>
      </c>
      <c r="J4" s="26" t="s">
        <v>2</v>
      </c>
      <c r="K4" s="27"/>
      <c r="L4" s="24" t="s">
        <v>4</v>
      </c>
      <c r="M4" s="25" t="s">
        <v>4</v>
      </c>
      <c r="N4" s="26" t="s">
        <v>4</v>
      </c>
      <c r="O4" s="28"/>
      <c r="P4" s="25"/>
      <c r="Q4" s="29"/>
      <c r="R4" s="24" t="s">
        <v>38</v>
      </c>
      <c r="S4" s="25" t="s">
        <v>37</v>
      </c>
      <c r="T4" s="25" t="s">
        <v>37</v>
      </c>
      <c r="U4" s="25" t="s">
        <v>40</v>
      </c>
      <c r="V4" s="26" t="s">
        <v>32</v>
      </c>
      <c r="X4" s="24" t="s">
        <v>2</v>
      </c>
      <c r="Y4" s="25" t="s">
        <v>14</v>
      </c>
      <c r="Z4" s="25" t="s">
        <v>37</v>
      </c>
      <c r="AA4" s="25" t="s">
        <v>40</v>
      </c>
      <c r="AB4" s="25" t="s">
        <v>63</v>
      </c>
      <c r="AC4" s="25" t="s">
        <v>67</v>
      </c>
      <c r="AD4" s="26" t="s">
        <v>57</v>
      </c>
    </row>
    <row r="5" spans="1:30" x14ac:dyDescent="0.2">
      <c r="A5" s="10">
        <v>1</v>
      </c>
      <c r="B5" s="6">
        <v>10</v>
      </c>
      <c r="C5" s="109"/>
      <c r="D5" s="109"/>
      <c r="E5" s="60"/>
      <c r="F5" s="43"/>
      <c r="G5" s="6"/>
      <c r="H5" s="6"/>
      <c r="I5" s="6"/>
      <c r="J5" s="44"/>
      <c r="K5" s="7"/>
      <c r="L5" s="43"/>
      <c r="M5" s="6"/>
      <c r="N5" s="44"/>
      <c r="O5" s="30">
        <f t="shared" ref="O5:O36" ca="1" si="0">L5+INDIRECT(LEFT(ADDRESS(1,COLUMN(),2),1+(COLUMN()&gt;26)) &amp; ROW($A$4)+$F5)+INDIRECT(LEFT(ADDRESS(1,COLUMN(),2),1+(COLUMN()&gt;26)) &amp; ROW($A$4)+$G5)+INDIRECT(LEFT(ADDRESS(1,COLUMN(),2),1+(COLUMN()&gt;26)) &amp; ROW($A$4)+$H5)+INDIRECT(LEFT(ADDRESS(1,COLUMN(),2),1+(COLUMN()&gt;26)) &amp; ROW($A$4)+$I5)+INDIRECT(LEFT(ADDRESS(1,COLUMN(),2),1+(COLUMN()&gt;26)) &amp; ROW($A$4)+$J5)</f>
        <v>0</v>
      </c>
      <c r="P5" s="8">
        <f t="shared" ref="P5:P36" ca="1" si="1">M5+INDIRECT(LEFT(ADDRESS(1,COLUMN(),2),1+(COLUMN()&gt;26)) &amp; ROW($A$4)+$F5)+INDIRECT(LEFT(ADDRESS(1,COLUMN(),2),1+(COLUMN()&gt;26)) &amp; ROW($A$4)+$G5)+INDIRECT(LEFT(ADDRESS(1,COLUMN(),2),1+(COLUMN()&gt;26)) &amp; ROW($A$4)+$H5)+INDIRECT(LEFT(ADDRESS(1,COLUMN(),2),1+(COLUMN()&gt;26)) &amp; ROW($A$4)+$I5)+INDIRECT(LEFT(ADDRESS(1,COLUMN(),2),1+(COLUMN()&gt;26)) &amp; ROW($A$4)+$J5)</f>
        <v>0</v>
      </c>
      <c r="Q5" s="31">
        <f t="shared" ref="Q5:Q36" ca="1" si="2">N5+INDIRECT(LEFT(ADDRESS(1,COLUMN(),2),1+(COLUMN()&gt;26)) &amp; ROW($A$4)+$F5)+INDIRECT(LEFT(ADDRESS(1,COLUMN(),2),1+(COLUMN()&gt;26)) &amp; ROW($A$4)+$G5)+INDIRECT(LEFT(ADDRESS(1,COLUMN(),2),1+(COLUMN()&gt;26)) &amp; ROW($A$4)+$H5)+INDIRECT(LEFT(ADDRESS(1,COLUMN(),2),1+(COLUMN()&gt;26)) &amp; ROW($A$4)+$I5)+INDIRECT(LEFT(ADDRESS(1,COLUMN(),2),1+(COLUMN()&gt;26)) &amp; ROW($A$4)+$J5)</f>
        <v>0</v>
      </c>
      <c r="R5" s="49">
        <f ca="1">O5*Settings_ReadMe!$C$35+'Pipe Section'!P5*Settings_ReadMe!$C$30+'Pipe Section'!Q5*Settings_ReadMe!$C$31</f>
        <v>0</v>
      </c>
      <c r="S5" s="32"/>
      <c r="T5" s="32"/>
      <c r="U5" s="101"/>
      <c r="V5" s="33"/>
      <c r="X5" s="52"/>
      <c r="Y5" s="53"/>
      <c r="Z5" s="32"/>
      <c r="AA5" s="101"/>
      <c r="AB5" s="101"/>
      <c r="AC5" s="101"/>
      <c r="AD5" s="106"/>
    </row>
    <row r="6" spans="1:30" x14ac:dyDescent="0.2">
      <c r="A6" s="9">
        <f>A5+1</f>
        <v>2</v>
      </c>
      <c r="B6" s="3"/>
      <c r="C6" s="110"/>
      <c r="D6" s="110"/>
      <c r="E6" s="61"/>
      <c r="F6" s="45"/>
      <c r="G6" s="3"/>
      <c r="H6" s="3"/>
      <c r="I6" s="3"/>
      <c r="J6" s="46"/>
      <c r="K6" s="4"/>
      <c r="L6" s="45"/>
      <c r="M6" s="3"/>
      <c r="N6" s="46"/>
      <c r="O6" s="34">
        <f t="shared" ca="1" si="0"/>
        <v>0</v>
      </c>
      <c r="P6" s="5">
        <f t="shared" ca="1" si="1"/>
        <v>0</v>
      </c>
      <c r="Q6" s="35">
        <f t="shared" ca="1" si="2"/>
        <v>0</v>
      </c>
      <c r="R6" s="50">
        <f ca="1">O6*Settings_ReadMe!$C$35+'Pipe Section'!P6*Settings_ReadMe!$C$30+'Pipe Section'!Q6*Settings_ReadMe!$C$31</f>
        <v>0</v>
      </c>
      <c r="S6" s="36"/>
      <c r="T6" s="36"/>
      <c r="U6" s="38"/>
      <c r="V6" s="33"/>
      <c r="X6" s="54"/>
      <c r="Y6" s="55"/>
      <c r="Z6" s="36"/>
      <c r="AA6" s="38"/>
      <c r="AB6" s="38"/>
      <c r="AC6" s="38"/>
      <c r="AD6" s="107"/>
    </row>
    <row r="7" spans="1:30" x14ac:dyDescent="0.2">
      <c r="A7" s="9">
        <f t="shared" ref="A7:A54" si="3">A6+1</f>
        <v>3</v>
      </c>
      <c r="B7" s="3"/>
      <c r="C7" s="110"/>
      <c r="D7" s="110"/>
      <c r="E7" s="61"/>
      <c r="F7" s="45"/>
      <c r="G7" s="3"/>
      <c r="H7" s="3"/>
      <c r="I7" s="3"/>
      <c r="J7" s="46"/>
      <c r="K7" s="4"/>
      <c r="L7" s="45"/>
      <c r="M7" s="3"/>
      <c r="N7" s="46"/>
      <c r="O7" s="34">
        <f t="shared" ca="1" si="0"/>
        <v>0</v>
      </c>
      <c r="P7" s="5">
        <f t="shared" ca="1" si="1"/>
        <v>0</v>
      </c>
      <c r="Q7" s="35">
        <f t="shared" ca="1" si="2"/>
        <v>0</v>
      </c>
      <c r="R7" s="50">
        <f ca="1">O7*Settings_ReadMe!$C$35+'Pipe Section'!P7*Settings_ReadMe!$C$30+'Pipe Section'!Q7*Settings_ReadMe!$C$31</f>
        <v>0</v>
      </c>
      <c r="S7" s="36"/>
      <c r="T7" s="36"/>
      <c r="U7" s="38"/>
      <c r="V7" s="37"/>
      <c r="X7" s="54"/>
      <c r="Y7" s="55"/>
      <c r="Z7" s="36"/>
      <c r="AA7" s="38"/>
      <c r="AB7" s="38"/>
      <c r="AC7" s="38"/>
      <c r="AD7" s="107"/>
    </row>
    <row r="8" spans="1:30" x14ac:dyDescent="0.2">
      <c r="A8" s="9">
        <f t="shared" si="3"/>
        <v>4</v>
      </c>
      <c r="B8" s="3"/>
      <c r="C8" s="110"/>
      <c r="D8" s="110"/>
      <c r="E8" s="61"/>
      <c r="F8" s="45"/>
      <c r="G8" s="3"/>
      <c r="H8" s="3"/>
      <c r="I8" s="3"/>
      <c r="J8" s="46"/>
      <c r="K8" s="4"/>
      <c r="L8" s="45"/>
      <c r="M8" s="3"/>
      <c r="N8" s="46"/>
      <c r="O8" s="34">
        <f t="shared" ca="1" si="0"/>
        <v>0</v>
      </c>
      <c r="P8" s="5">
        <f t="shared" ca="1" si="1"/>
        <v>0</v>
      </c>
      <c r="Q8" s="35">
        <f t="shared" ca="1" si="2"/>
        <v>0</v>
      </c>
      <c r="R8" s="50">
        <f ca="1">O8*Settings_ReadMe!$C$35+'Pipe Section'!P8*Settings_ReadMe!$C$30+'Pipe Section'!Q8*Settings_ReadMe!$C$31</f>
        <v>0</v>
      </c>
      <c r="S8" s="36"/>
      <c r="T8" s="36"/>
      <c r="U8" s="38"/>
      <c r="V8" s="37"/>
      <c r="X8" s="54"/>
      <c r="Y8" s="55"/>
      <c r="Z8" s="36"/>
      <c r="AA8" s="38"/>
      <c r="AB8" s="38"/>
      <c r="AC8" s="38"/>
      <c r="AD8" s="107"/>
    </row>
    <row r="9" spans="1:30" x14ac:dyDescent="0.2">
      <c r="A9" s="9">
        <f t="shared" si="3"/>
        <v>5</v>
      </c>
      <c r="B9" s="3"/>
      <c r="C9" s="110"/>
      <c r="D9" s="110"/>
      <c r="E9" s="61"/>
      <c r="F9" s="45"/>
      <c r="G9" s="3"/>
      <c r="H9" s="3"/>
      <c r="I9" s="3"/>
      <c r="J9" s="46"/>
      <c r="K9" s="4"/>
      <c r="L9" s="45"/>
      <c r="M9" s="3"/>
      <c r="N9" s="46"/>
      <c r="O9" s="34">
        <f t="shared" ca="1" si="0"/>
        <v>0</v>
      </c>
      <c r="P9" s="5">
        <f t="shared" ca="1" si="1"/>
        <v>0</v>
      </c>
      <c r="Q9" s="35">
        <f t="shared" ca="1" si="2"/>
        <v>0</v>
      </c>
      <c r="R9" s="50">
        <f ca="1">O9*Settings_ReadMe!$C$35+'Pipe Section'!P9*Settings_ReadMe!$C$30+'Pipe Section'!Q9*Settings_ReadMe!$C$31</f>
        <v>0</v>
      </c>
      <c r="S9" s="36"/>
      <c r="T9" s="36"/>
      <c r="U9" s="38"/>
      <c r="V9" s="37"/>
      <c r="X9" s="54"/>
      <c r="Y9" s="55"/>
      <c r="Z9" s="36"/>
      <c r="AA9" s="38"/>
      <c r="AB9" s="38"/>
      <c r="AC9" s="38"/>
      <c r="AD9" s="107"/>
    </row>
    <row r="10" spans="1:30" x14ac:dyDescent="0.2">
      <c r="A10" s="9">
        <f t="shared" si="3"/>
        <v>6</v>
      </c>
      <c r="B10" s="3"/>
      <c r="C10" s="110"/>
      <c r="D10" s="110"/>
      <c r="E10" s="61"/>
      <c r="F10" s="45"/>
      <c r="G10" s="3"/>
      <c r="H10" s="3"/>
      <c r="I10" s="3"/>
      <c r="J10" s="46"/>
      <c r="K10" s="4"/>
      <c r="L10" s="45"/>
      <c r="M10" s="3"/>
      <c r="N10" s="46"/>
      <c r="O10" s="34">
        <f t="shared" ca="1" si="0"/>
        <v>0</v>
      </c>
      <c r="P10" s="5">
        <f t="shared" ca="1" si="1"/>
        <v>0</v>
      </c>
      <c r="Q10" s="35">
        <f t="shared" ca="1" si="2"/>
        <v>0</v>
      </c>
      <c r="R10" s="50">
        <f ca="1">O10*Settings_ReadMe!$C$35+'Pipe Section'!P10*Settings_ReadMe!$C$30+'Pipe Section'!Q10*Settings_ReadMe!$C$31</f>
        <v>0</v>
      </c>
      <c r="S10" s="36"/>
      <c r="T10" s="36"/>
      <c r="U10" s="38"/>
      <c r="V10" s="37"/>
      <c r="X10" s="54"/>
      <c r="Y10" s="55"/>
      <c r="Z10" s="36"/>
      <c r="AA10" s="38"/>
      <c r="AB10" s="38"/>
      <c r="AC10" s="38"/>
      <c r="AD10" s="107"/>
    </row>
    <row r="11" spans="1:30" x14ac:dyDescent="0.2">
      <c r="A11" s="9">
        <f t="shared" si="3"/>
        <v>7</v>
      </c>
      <c r="B11" s="3"/>
      <c r="C11" s="110"/>
      <c r="D11" s="110"/>
      <c r="E11" s="61"/>
      <c r="F11" s="45"/>
      <c r="G11" s="3"/>
      <c r="H11" s="3"/>
      <c r="I11" s="3"/>
      <c r="J11" s="46"/>
      <c r="K11" s="4"/>
      <c r="L11" s="45"/>
      <c r="M11" s="3"/>
      <c r="N11" s="46"/>
      <c r="O11" s="34">
        <f t="shared" ca="1" si="0"/>
        <v>0</v>
      </c>
      <c r="P11" s="5">
        <f t="shared" ca="1" si="1"/>
        <v>0</v>
      </c>
      <c r="Q11" s="35">
        <f t="shared" ca="1" si="2"/>
        <v>0</v>
      </c>
      <c r="R11" s="50">
        <f ca="1">O11*Settings_ReadMe!$C$35+'Pipe Section'!P11*Settings_ReadMe!$C$30+'Pipe Section'!Q11*Settings_ReadMe!$C$31</f>
        <v>0</v>
      </c>
      <c r="S11" s="36"/>
      <c r="T11" s="36"/>
      <c r="U11" s="38"/>
      <c r="V11" s="37"/>
      <c r="X11" s="54"/>
      <c r="Y11" s="38"/>
      <c r="Z11" s="36"/>
      <c r="AA11" s="38"/>
      <c r="AB11" s="38"/>
      <c r="AC11" s="38"/>
      <c r="AD11" s="107"/>
    </row>
    <row r="12" spans="1:30" x14ac:dyDescent="0.2">
      <c r="A12" s="9">
        <f t="shared" si="3"/>
        <v>8</v>
      </c>
      <c r="B12" s="3"/>
      <c r="C12" s="110"/>
      <c r="D12" s="110"/>
      <c r="E12" s="61"/>
      <c r="F12" s="45"/>
      <c r="G12" s="3"/>
      <c r="H12" s="3"/>
      <c r="I12" s="3"/>
      <c r="J12" s="46"/>
      <c r="K12" s="4"/>
      <c r="L12" s="45"/>
      <c r="M12" s="3"/>
      <c r="N12" s="46"/>
      <c r="O12" s="34">
        <f t="shared" ca="1" si="0"/>
        <v>0</v>
      </c>
      <c r="P12" s="5">
        <f t="shared" ca="1" si="1"/>
        <v>0</v>
      </c>
      <c r="Q12" s="35">
        <f t="shared" ca="1" si="2"/>
        <v>0</v>
      </c>
      <c r="R12" s="50">
        <f ca="1">O12*Settings_ReadMe!$C$35+'Pipe Section'!P12*Settings_ReadMe!$C$30+'Pipe Section'!Q12*Settings_ReadMe!$C$31</f>
        <v>0</v>
      </c>
      <c r="S12" s="36"/>
      <c r="T12" s="36"/>
      <c r="U12" s="38"/>
      <c r="V12" s="37"/>
      <c r="X12" s="54"/>
      <c r="Y12" s="55"/>
      <c r="Z12" s="36"/>
      <c r="AA12" s="38"/>
      <c r="AB12" s="38"/>
      <c r="AC12" s="38"/>
      <c r="AD12" s="107"/>
    </row>
    <row r="13" spans="1:30" x14ac:dyDescent="0.2">
      <c r="A13" s="9">
        <f t="shared" si="3"/>
        <v>9</v>
      </c>
      <c r="B13" s="3"/>
      <c r="C13" s="110"/>
      <c r="D13" s="110"/>
      <c r="E13" s="61"/>
      <c r="F13" s="45"/>
      <c r="G13" s="3"/>
      <c r="H13" s="3"/>
      <c r="I13" s="3"/>
      <c r="J13" s="46"/>
      <c r="K13" s="4"/>
      <c r="L13" s="45"/>
      <c r="M13" s="3"/>
      <c r="N13" s="46"/>
      <c r="O13" s="34">
        <f t="shared" ca="1" si="0"/>
        <v>0</v>
      </c>
      <c r="P13" s="5">
        <f t="shared" ca="1" si="1"/>
        <v>0</v>
      </c>
      <c r="Q13" s="35">
        <f t="shared" ca="1" si="2"/>
        <v>0</v>
      </c>
      <c r="R13" s="50">
        <f ca="1">O13*Settings_ReadMe!$C$35+'Pipe Section'!P13*Settings_ReadMe!$C$30+'Pipe Section'!Q13*Settings_ReadMe!$C$31</f>
        <v>0</v>
      </c>
      <c r="S13" s="36"/>
      <c r="T13" s="36"/>
      <c r="U13" s="38"/>
      <c r="V13" s="37"/>
      <c r="X13" s="54"/>
      <c r="Y13" s="55"/>
      <c r="Z13" s="36"/>
      <c r="AA13" s="38"/>
      <c r="AB13" s="38"/>
      <c r="AC13" s="38"/>
      <c r="AD13" s="107"/>
    </row>
    <row r="14" spans="1:30" x14ac:dyDescent="0.2">
      <c r="A14" s="9">
        <f t="shared" si="3"/>
        <v>10</v>
      </c>
      <c r="B14" s="3"/>
      <c r="C14" s="110"/>
      <c r="D14" s="110"/>
      <c r="E14" s="61"/>
      <c r="F14" s="45"/>
      <c r="G14" s="3"/>
      <c r="H14" s="3"/>
      <c r="I14" s="3"/>
      <c r="J14" s="46"/>
      <c r="K14" s="4"/>
      <c r="L14" s="45"/>
      <c r="M14" s="3"/>
      <c r="N14" s="46"/>
      <c r="O14" s="34">
        <f t="shared" ca="1" si="0"/>
        <v>0</v>
      </c>
      <c r="P14" s="5">
        <f t="shared" ca="1" si="1"/>
        <v>0</v>
      </c>
      <c r="Q14" s="35">
        <f t="shared" ca="1" si="2"/>
        <v>0</v>
      </c>
      <c r="R14" s="50">
        <f ca="1">O14*Settings_ReadMe!$C$35+'Pipe Section'!P14*Settings_ReadMe!$C$30+'Pipe Section'!Q14*Settings_ReadMe!$C$31</f>
        <v>0</v>
      </c>
      <c r="S14" s="36"/>
      <c r="T14" s="36"/>
      <c r="U14" s="38"/>
      <c r="V14" s="37"/>
      <c r="X14" s="54"/>
      <c r="Y14" s="55"/>
      <c r="Z14" s="36"/>
      <c r="AA14" s="38"/>
      <c r="AB14" s="38"/>
      <c r="AC14" s="38"/>
      <c r="AD14" s="107"/>
    </row>
    <row r="15" spans="1:30" x14ac:dyDescent="0.2">
      <c r="A15" s="9">
        <f t="shared" si="3"/>
        <v>11</v>
      </c>
      <c r="B15" s="3"/>
      <c r="C15" s="110"/>
      <c r="D15" s="110"/>
      <c r="E15" s="61"/>
      <c r="F15" s="45"/>
      <c r="G15" s="3"/>
      <c r="H15" s="3"/>
      <c r="I15" s="3"/>
      <c r="J15" s="46"/>
      <c r="K15" s="4"/>
      <c r="L15" s="45"/>
      <c r="M15" s="3"/>
      <c r="N15" s="46"/>
      <c r="O15" s="34">
        <f t="shared" ca="1" si="0"/>
        <v>0</v>
      </c>
      <c r="P15" s="5">
        <f t="shared" ca="1" si="1"/>
        <v>0</v>
      </c>
      <c r="Q15" s="35">
        <f t="shared" ca="1" si="2"/>
        <v>0</v>
      </c>
      <c r="R15" s="50">
        <f ca="1">O15*Settings_ReadMe!$C$35+'Pipe Section'!P15*Settings_ReadMe!$C$30+'Pipe Section'!Q15*Settings_ReadMe!$C$31</f>
        <v>0</v>
      </c>
      <c r="S15" s="36"/>
      <c r="T15" s="36"/>
      <c r="U15" s="38"/>
      <c r="V15" s="37"/>
      <c r="X15" s="54"/>
      <c r="Y15" s="55"/>
      <c r="Z15" s="36"/>
      <c r="AA15" s="38"/>
      <c r="AB15" s="38"/>
      <c r="AC15" s="38"/>
      <c r="AD15" s="107"/>
    </row>
    <row r="16" spans="1:30" x14ac:dyDescent="0.2">
      <c r="A16" s="9">
        <f t="shared" si="3"/>
        <v>12</v>
      </c>
      <c r="B16" s="3"/>
      <c r="C16" s="110"/>
      <c r="D16" s="110"/>
      <c r="E16" s="61"/>
      <c r="F16" s="45"/>
      <c r="G16" s="3"/>
      <c r="H16" s="3"/>
      <c r="I16" s="3"/>
      <c r="J16" s="46"/>
      <c r="K16" s="4"/>
      <c r="L16" s="45"/>
      <c r="M16" s="3"/>
      <c r="N16" s="46"/>
      <c r="O16" s="34">
        <f t="shared" ca="1" si="0"/>
        <v>0</v>
      </c>
      <c r="P16" s="5">
        <f t="shared" ca="1" si="1"/>
        <v>0</v>
      </c>
      <c r="Q16" s="35">
        <f t="shared" ca="1" si="2"/>
        <v>0</v>
      </c>
      <c r="R16" s="50">
        <f ca="1">O16*Settings_ReadMe!$C$35+'Pipe Section'!P16*Settings_ReadMe!$C$30+'Pipe Section'!Q16*Settings_ReadMe!$C$31</f>
        <v>0</v>
      </c>
      <c r="S16" s="36"/>
      <c r="T16" s="36"/>
      <c r="U16" s="38"/>
      <c r="V16" s="37"/>
      <c r="X16" s="54"/>
      <c r="Y16" s="55"/>
      <c r="Z16" s="36"/>
      <c r="AA16" s="38"/>
      <c r="AB16" s="38"/>
      <c r="AC16" s="38"/>
      <c r="AD16" s="107"/>
    </row>
    <row r="17" spans="1:30" x14ac:dyDescent="0.2">
      <c r="A17" s="9">
        <f t="shared" si="3"/>
        <v>13</v>
      </c>
      <c r="B17" s="3"/>
      <c r="C17" s="110"/>
      <c r="D17" s="110"/>
      <c r="E17" s="61"/>
      <c r="F17" s="45"/>
      <c r="G17" s="3"/>
      <c r="H17" s="3"/>
      <c r="I17" s="3"/>
      <c r="J17" s="46"/>
      <c r="K17" s="4"/>
      <c r="L17" s="45"/>
      <c r="M17" s="3"/>
      <c r="N17" s="46"/>
      <c r="O17" s="34">
        <f t="shared" ca="1" si="0"/>
        <v>0</v>
      </c>
      <c r="P17" s="5">
        <f t="shared" ca="1" si="1"/>
        <v>0</v>
      </c>
      <c r="Q17" s="35">
        <f t="shared" ca="1" si="2"/>
        <v>0</v>
      </c>
      <c r="R17" s="50">
        <f ca="1">O17*Settings_ReadMe!$C$35+'Pipe Section'!P17*Settings_ReadMe!$C$30+'Pipe Section'!Q17*Settings_ReadMe!$C$31</f>
        <v>0</v>
      </c>
      <c r="S17" s="36"/>
      <c r="T17" s="36"/>
      <c r="U17" s="38"/>
      <c r="V17" s="37"/>
      <c r="X17" s="54"/>
      <c r="Y17" s="55"/>
      <c r="Z17" s="36"/>
      <c r="AA17" s="38"/>
      <c r="AB17" s="38"/>
      <c r="AC17" s="38"/>
      <c r="AD17" s="107"/>
    </row>
    <row r="18" spans="1:30" x14ac:dyDescent="0.2">
      <c r="A18" s="9">
        <f t="shared" si="3"/>
        <v>14</v>
      </c>
      <c r="B18" s="3"/>
      <c r="C18" s="110"/>
      <c r="D18" s="110"/>
      <c r="E18" s="61"/>
      <c r="F18" s="45"/>
      <c r="G18" s="3"/>
      <c r="H18" s="3"/>
      <c r="I18" s="3"/>
      <c r="J18" s="46"/>
      <c r="K18" s="4"/>
      <c r="L18" s="45"/>
      <c r="M18" s="3"/>
      <c r="N18" s="46"/>
      <c r="O18" s="34">
        <f t="shared" ca="1" si="0"/>
        <v>0</v>
      </c>
      <c r="P18" s="5">
        <f t="shared" ca="1" si="1"/>
        <v>0</v>
      </c>
      <c r="Q18" s="35">
        <f t="shared" ca="1" si="2"/>
        <v>0</v>
      </c>
      <c r="R18" s="50">
        <f ca="1">O18*Settings_ReadMe!$C$35+'Pipe Section'!P18*Settings_ReadMe!$C$30+'Pipe Section'!Q18*Settings_ReadMe!$C$31</f>
        <v>0</v>
      </c>
      <c r="S18" s="38"/>
      <c r="T18" s="38"/>
      <c r="U18" s="38"/>
      <c r="V18" s="37"/>
      <c r="X18" s="54"/>
      <c r="Y18" s="55"/>
      <c r="Z18" s="36"/>
      <c r="AA18" s="38"/>
      <c r="AB18" s="38"/>
      <c r="AC18" s="38"/>
      <c r="AD18" s="107"/>
    </row>
    <row r="19" spans="1:30" x14ac:dyDescent="0.2">
      <c r="A19" s="9">
        <f t="shared" si="3"/>
        <v>15</v>
      </c>
      <c r="B19" s="3"/>
      <c r="C19" s="110"/>
      <c r="D19" s="110"/>
      <c r="E19" s="61"/>
      <c r="F19" s="45"/>
      <c r="G19" s="3"/>
      <c r="H19" s="3"/>
      <c r="I19" s="3"/>
      <c r="J19" s="46"/>
      <c r="K19" s="4"/>
      <c r="L19" s="45"/>
      <c r="M19" s="3"/>
      <c r="N19" s="46"/>
      <c r="O19" s="34">
        <f t="shared" ca="1" si="0"/>
        <v>0</v>
      </c>
      <c r="P19" s="5">
        <f t="shared" ca="1" si="1"/>
        <v>0</v>
      </c>
      <c r="Q19" s="35">
        <f t="shared" ca="1" si="2"/>
        <v>0</v>
      </c>
      <c r="R19" s="50">
        <f ca="1">O19*Settings_ReadMe!$C$35+'Pipe Section'!P19*Settings_ReadMe!$C$30+'Pipe Section'!Q19*Settings_ReadMe!$C$31</f>
        <v>0</v>
      </c>
      <c r="S19" s="38"/>
      <c r="T19" s="38"/>
      <c r="U19" s="38"/>
      <c r="V19" s="37"/>
      <c r="X19" s="54"/>
      <c r="Y19" s="55"/>
      <c r="Z19" s="55"/>
      <c r="AA19" s="55"/>
      <c r="AB19" s="55"/>
      <c r="AC19" s="55"/>
      <c r="AD19" s="107"/>
    </row>
    <row r="20" spans="1:30" x14ac:dyDescent="0.2">
      <c r="A20" s="9">
        <f t="shared" si="3"/>
        <v>16</v>
      </c>
      <c r="B20" s="3"/>
      <c r="C20" s="110"/>
      <c r="D20" s="110"/>
      <c r="E20" s="61"/>
      <c r="F20" s="45"/>
      <c r="G20" s="3"/>
      <c r="H20" s="3"/>
      <c r="I20" s="3"/>
      <c r="J20" s="46"/>
      <c r="K20" s="4"/>
      <c r="L20" s="45"/>
      <c r="M20" s="3"/>
      <c r="N20" s="46"/>
      <c r="O20" s="34">
        <f t="shared" ca="1" si="0"/>
        <v>0</v>
      </c>
      <c r="P20" s="5">
        <f t="shared" ca="1" si="1"/>
        <v>0</v>
      </c>
      <c r="Q20" s="35">
        <f t="shared" ca="1" si="2"/>
        <v>0</v>
      </c>
      <c r="R20" s="50">
        <f ca="1">O20*Settings_ReadMe!$C$35+'Pipe Section'!P20*Settings_ReadMe!$C$30+'Pipe Section'!Q20*Settings_ReadMe!$C$31</f>
        <v>0</v>
      </c>
      <c r="S20" s="38"/>
      <c r="T20" s="38"/>
      <c r="U20" s="38"/>
      <c r="V20" s="37"/>
      <c r="X20" s="54"/>
      <c r="Y20" s="55"/>
      <c r="Z20" s="55"/>
      <c r="AA20" s="55"/>
      <c r="AB20" s="55"/>
      <c r="AC20" s="55"/>
      <c r="AD20" s="107"/>
    </row>
    <row r="21" spans="1:30" x14ac:dyDescent="0.2">
      <c r="A21" s="9">
        <f t="shared" si="3"/>
        <v>17</v>
      </c>
      <c r="B21" s="3"/>
      <c r="C21" s="110"/>
      <c r="D21" s="110"/>
      <c r="E21" s="61"/>
      <c r="F21" s="45"/>
      <c r="G21" s="3"/>
      <c r="H21" s="3"/>
      <c r="I21" s="3"/>
      <c r="J21" s="46"/>
      <c r="K21" s="4"/>
      <c r="L21" s="45"/>
      <c r="M21" s="3"/>
      <c r="N21" s="46"/>
      <c r="O21" s="34">
        <f t="shared" ca="1" si="0"/>
        <v>0</v>
      </c>
      <c r="P21" s="5">
        <f t="shared" ca="1" si="1"/>
        <v>0</v>
      </c>
      <c r="Q21" s="35">
        <f t="shared" ca="1" si="2"/>
        <v>0</v>
      </c>
      <c r="R21" s="50">
        <f ca="1">O21*Settings_ReadMe!$C$35+'Pipe Section'!P21*Settings_ReadMe!$C$30+'Pipe Section'!Q21*Settings_ReadMe!$C$31</f>
        <v>0</v>
      </c>
      <c r="S21" s="38"/>
      <c r="T21" s="38"/>
      <c r="U21" s="38"/>
      <c r="V21" s="37"/>
      <c r="X21" s="54"/>
      <c r="Y21" s="55"/>
      <c r="Z21" s="55"/>
      <c r="AA21" s="55"/>
      <c r="AB21" s="55"/>
      <c r="AC21" s="55"/>
      <c r="AD21" s="107"/>
    </row>
    <row r="22" spans="1:30" x14ac:dyDescent="0.2">
      <c r="A22" s="9">
        <f t="shared" si="3"/>
        <v>18</v>
      </c>
      <c r="B22" s="3"/>
      <c r="C22" s="110"/>
      <c r="D22" s="110"/>
      <c r="E22" s="61"/>
      <c r="F22" s="45"/>
      <c r="G22" s="3"/>
      <c r="H22" s="3"/>
      <c r="I22" s="3"/>
      <c r="J22" s="46"/>
      <c r="K22" s="4"/>
      <c r="L22" s="45"/>
      <c r="M22" s="3"/>
      <c r="N22" s="46"/>
      <c r="O22" s="34">
        <f t="shared" ca="1" si="0"/>
        <v>0</v>
      </c>
      <c r="P22" s="5">
        <f t="shared" ca="1" si="1"/>
        <v>0</v>
      </c>
      <c r="Q22" s="35">
        <f t="shared" ca="1" si="2"/>
        <v>0</v>
      </c>
      <c r="R22" s="50">
        <f ca="1">O22*Settings_ReadMe!$C$35+'Pipe Section'!P22*Settings_ReadMe!$C$30+'Pipe Section'!Q22*Settings_ReadMe!$C$31</f>
        <v>0</v>
      </c>
      <c r="S22" s="38"/>
      <c r="T22" s="38"/>
      <c r="U22" s="38"/>
      <c r="V22" s="37"/>
      <c r="X22" s="54"/>
      <c r="Y22" s="55"/>
      <c r="Z22" s="55"/>
      <c r="AA22" s="55"/>
      <c r="AB22" s="55"/>
      <c r="AC22" s="55"/>
      <c r="AD22" s="107"/>
    </row>
    <row r="23" spans="1:30" x14ac:dyDescent="0.2">
      <c r="A23" s="9">
        <f t="shared" si="3"/>
        <v>19</v>
      </c>
      <c r="B23" s="3"/>
      <c r="C23" s="110"/>
      <c r="D23" s="110"/>
      <c r="E23" s="61"/>
      <c r="F23" s="45"/>
      <c r="G23" s="3"/>
      <c r="H23" s="3"/>
      <c r="I23" s="3"/>
      <c r="J23" s="46"/>
      <c r="K23" s="4"/>
      <c r="L23" s="45"/>
      <c r="M23" s="3"/>
      <c r="N23" s="46"/>
      <c r="O23" s="34">
        <f t="shared" ca="1" si="0"/>
        <v>0</v>
      </c>
      <c r="P23" s="5">
        <f t="shared" ca="1" si="1"/>
        <v>0</v>
      </c>
      <c r="Q23" s="35">
        <f t="shared" ca="1" si="2"/>
        <v>0</v>
      </c>
      <c r="R23" s="50">
        <f ca="1">O23*Settings_ReadMe!$C$35+'Pipe Section'!P23*Settings_ReadMe!$C$30+'Pipe Section'!Q23*Settings_ReadMe!$C$31</f>
        <v>0</v>
      </c>
      <c r="S23" s="38"/>
      <c r="T23" s="38"/>
      <c r="U23" s="38"/>
      <c r="V23" s="37"/>
      <c r="X23" s="54"/>
      <c r="Y23" s="55"/>
      <c r="Z23" s="55"/>
      <c r="AA23" s="55"/>
      <c r="AB23" s="55"/>
      <c r="AC23" s="55"/>
      <c r="AD23" s="107"/>
    </row>
    <row r="24" spans="1:30" x14ac:dyDescent="0.2">
      <c r="A24" s="9">
        <f t="shared" si="3"/>
        <v>20</v>
      </c>
      <c r="B24" s="3"/>
      <c r="C24" s="110"/>
      <c r="D24" s="110"/>
      <c r="E24" s="61"/>
      <c r="F24" s="45"/>
      <c r="G24" s="3"/>
      <c r="H24" s="3"/>
      <c r="I24" s="3"/>
      <c r="J24" s="46"/>
      <c r="K24" s="4"/>
      <c r="L24" s="45"/>
      <c r="M24" s="3"/>
      <c r="N24" s="46"/>
      <c r="O24" s="34">
        <f t="shared" ca="1" si="0"/>
        <v>0</v>
      </c>
      <c r="P24" s="5">
        <f t="shared" ca="1" si="1"/>
        <v>0</v>
      </c>
      <c r="Q24" s="35">
        <f t="shared" ca="1" si="2"/>
        <v>0</v>
      </c>
      <c r="R24" s="50">
        <f ca="1">O24*Settings_ReadMe!$C$35+'Pipe Section'!P24*Settings_ReadMe!$C$30+'Pipe Section'!Q24*Settings_ReadMe!$C$31</f>
        <v>0</v>
      </c>
      <c r="S24" s="38"/>
      <c r="T24" s="38"/>
      <c r="U24" s="38"/>
      <c r="V24" s="37"/>
      <c r="X24" s="54"/>
      <c r="Y24" s="55"/>
      <c r="Z24" s="55"/>
      <c r="AA24" s="55"/>
      <c r="AB24" s="55"/>
      <c r="AC24" s="55"/>
      <c r="AD24" s="107"/>
    </row>
    <row r="25" spans="1:30" x14ac:dyDescent="0.2">
      <c r="A25" s="9">
        <f t="shared" si="3"/>
        <v>21</v>
      </c>
      <c r="B25" s="3"/>
      <c r="C25" s="110"/>
      <c r="D25" s="110"/>
      <c r="E25" s="61"/>
      <c r="F25" s="45"/>
      <c r="G25" s="3"/>
      <c r="H25" s="3"/>
      <c r="I25" s="3"/>
      <c r="J25" s="46"/>
      <c r="K25" s="4"/>
      <c r="L25" s="45"/>
      <c r="M25" s="3"/>
      <c r="N25" s="46"/>
      <c r="O25" s="34">
        <f t="shared" ca="1" si="0"/>
        <v>0</v>
      </c>
      <c r="P25" s="5">
        <f t="shared" ca="1" si="1"/>
        <v>0</v>
      </c>
      <c r="Q25" s="35">
        <f t="shared" ca="1" si="2"/>
        <v>0</v>
      </c>
      <c r="R25" s="50">
        <f ca="1">O25*Settings_ReadMe!$C$35+'Pipe Section'!P25*Settings_ReadMe!$C$30+'Pipe Section'!Q25*Settings_ReadMe!$C$31</f>
        <v>0</v>
      </c>
      <c r="S25" s="38"/>
      <c r="T25" s="38"/>
      <c r="U25" s="38"/>
      <c r="V25" s="37"/>
      <c r="X25" s="54"/>
      <c r="Y25" s="55"/>
      <c r="Z25" s="55"/>
      <c r="AA25" s="55"/>
      <c r="AB25" s="55"/>
      <c r="AC25" s="55"/>
      <c r="AD25" s="107"/>
    </row>
    <row r="26" spans="1:30" x14ac:dyDescent="0.2">
      <c r="A26" s="9">
        <f t="shared" si="3"/>
        <v>22</v>
      </c>
      <c r="B26" s="3"/>
      <c r="C26" s="110"/>
      <c r="D26" s="110"/>
      <c r="E26" s="61"/>
      <c r="F26" s="45"/>
      <c r="G26" s="3"/>
      <c r="H26" s="3"/>
      <c r="I26" s="3"/>
      <c r="J26" s="46"/>
      <c r="K26" s="4"/>
      <c r="L26" s="45"/>
      <c r="M26" s="3"/>
      <c r="N26" s="46"/>
      <c r="O26" s="34">
        <f t="shared" ca="1" si="0"/>
        <v>0</v>
      </c>
      <c r="P26" s="5">
        <f t="shared" ca="1" si="1"/>
        <v>0</v>
      </c>
      <c r="Q26" s="35">
        <f t="shared" ca="1" si="2"/>
        <v>0</v>
      </c>
      <c r="R26" s="50">
        <f ca="1">O26*Settings_ReadMe!$C$35+'Pipe Section'!P26*Settings_ReadMe!$C$30+'Pipe Section'!Q26*Settings_ReadMe!$C$31</f>
        <v>0</v>
      </c>
      <c r="S26" s="38"/>
      <c r="T26" s="38"/>
      <c r="U26" s="38"/>
      <c r="V26" s="37"/>
      <c r="X26" s="54"/>
      <c r="Y26" s="55"/>
      <c r="Z26" s="55"/>
      <c r="AA26" s="55"/>
      <c r="AB26" s="55"/>
      <c r="AC26" s="55"/>
      <c r="AD26" s="107"/>
    </row>
    <row r="27" spans="1:30" x14ac:dyDescent="0.2">
      <c r="A27" s="9">
        <f t="shared" si="3"/>
        <v>23</v>
      </c>
      <c r="B27" s="3"/>
      <c r="C27" s="110"/>
      <c r="D27" s="110"/>
      <c r="E27" s="61"/>
      <c r="F27" s="45"/>
      <c r="G27" s="3"/>
      <c r="H27" s="3"/>
      <c r="I27" s="3"/>
      <c r="J27" s="46"/>
      <c r="K27" s="4"/>
      <c r="L27" s="45"/>
      <c r="M27" s="3"/>
      <c r="N27" s="46"/>
      <c r="O27" s="34">
        <f t="shared" ca="1" si="0"/>
        <v>0</v>
      </c>
      <c r="P27" s="5">
        <f t="shared" ca="1" si="1"/>
        <v>0</v>
      </c>
      <c r="Q27" s="35">
        <f t="shared" ca="1" si="2"/>
        <v>0</v>
      </c>
      <c r="R27" s="50">
        <f ca="1">O27*Settings_ReadMe!$C$35+'Pipe Section'!P27*Settings_ReadMe!$C$30+'Pipe Section'!Q27*Settings_ReadMe!$C$31</f>
        <v>0</v>
      </c>
      <c r="S27" s="38"/>
      <c r="T27" s="38"/>
      <c r="U27" s="38"/>
      <c r="V27" s="37"/>
      <c r="X27" s="54"/>
      <c r="Y27" s="55"/>
      <c r="Z27" s="55"/>
      <c r="AA27" s="55"/>
      <c r="AB27" s="55"/>
      <c r="AC27" s="55"/>
      <c r="AD27" s="107"/>
    </row>
    <row r="28" spans="1:30" x14ac:dyDescent="0.2">
      <c r="A28" s="9">
        <f t="shared" si="3"/>
        <v>24</v>
      </c>
      <c r="B28" s="3"/>
      <c r="C28" s="110"/>
      <c r="D28" s="110"/>
      <c r="E28" s="61"/>
      <c r="F28" s="45"/>
      <c r="G28" s="3"/>
      <c r="H28" s="3"/>
      <c r="I28" s="3"/>
      <c r="J28" s="46"/>
      <c r="K28" s="4"/>
      <c r="L28" s="45"/>
      <c r="M28" s="3"/>
      <c r="N28" s="46"/>
      <c r="O28" s="34">
        <f t="shared" ca="1" si="0"/>
        <v>0</v>
      </c>
      <c r="P28" s="5">
        <f t="shared" ca="1" si="1"/>
        <v>0</v>
      </c>
      <c r="Q28" s="35">
        <f t="shared" ca="1" si="2"/>
        <v>0</v>
      </c>
      <c r="R28" s="50">
        <f ca="1">O28*Settings_ReadMe!$C$35+'Pipe Section'!P28*Settings_ReadMe!$C$30+'Pipe Section'!Q28*Settings_ReadMe!$C$31</f>
        <v>0</v>
      </c>
      <c r="S28" s="38"/>
      <c r="T28" s="38"/>
      <c r="U28" s="38"/>
      <c r="V28" s="37"/>
      <c r="X28" s="54"/>
      <c r="Y28" s="55"/>
      <c r="Z28" s="55"/>
      <c r="AA28" s="55"/>
      <c r="AB28" s="55"/>
      <c r="AC28" s="55"/>
      <c r="AD28" s="107"/>
    </row>
    <row r="29" spans="1:30" x14ac:dyDescent="0.2">
      <c r="A29" s="9">
        <f t="shared" si="3"/>
        <v>25</v>
      </c>
      <c r="B29" s="3"/>
      <c r="C29" s="110"/>
      <c r="D29" s="110"/>
      <c r="E29" s="61"/>
      <c r="F29" s="45"/>
      <c r="G29" s="3"/>
      <c r="H29" s="3"/>
      <c r="I29" s="3"/>
      <c r="J29" s="46"/>
      <c r="K29" s="4"/>
      <c r="L29" s="45"/>
      <c r="M29" s="3"/>
      <c r="N29" s="46"/>
      <c r="O29" s="34">
        <f t="shared" ca="1" si="0"/>
        <v>0</v>
      </c>
      <c r="P29" s="5">
        <f t="shared" ca="1" si="1"/>
        <v>0</v>
      </c>
      <c r="Q29" s="35">
        <f t="shared" ca="1" si="2"/>
        <v>0</v>
      </c>
      <c r="R29" s="50">
        <f ca="1">O29*Settings_ReadMe!$C$35+'Pipe Section'!P29*Settings_ReadMe!$C$30+'Pipe Section'!Q29*Settings_ReadMe!$C$31</f>
        <v>0</v>
      </c>
      <c r="S29" s="38"/>
      <c r="T29" s="38"/>
      <c r="U29" s="38"/>
      <c r="V29" s="37"/>
      <c r="X29" s="54"/>
      <c r="Y29" s="55"/>
      <c r="Z29" s="55"/>
      <c r="AA29" s="55"/>
      <c r="AB29" s="55"/>
      <c r="AC29" s="55"/>
      <c r="AD29" s="107"/>
    </row>
    <row r="30" spans="1:30" x14ac:dyDescent="0.2">
      <c r="A30" s="9">
        <f t="shared" si="3"/>
        <v>26</v>
      </c>
      <c r="B30" s="3"/>
      <c r="C30" s="110"/>
      <c r="D30" s="110"/>
      <c r="E30" s="61"/>
      <c r="F30" s="45"/>
      <c r="G30" s="3"/>
      <c r="H30" s="3"/>
      <c r="I30" s="3"/>
      <c r="J30" s="46"/>
      <c r="K30" s="4"/>
      <c r="L30" s="45"/>
      <c r="M30" s="3"/>
      <c r="N30" s="46"/>
      <c r="O30" s="34">
        <f t="shared" ca="1" si="0"/>
        <v>0</v>
      </c>
      <c r="P30" s="5">
        <f t="shared" ca="1" si="1"/>
        <v>0</v>
      </c>
      <c r="Q30" s="35">
        <f t="shared" ca="1" si="2"/>
        <v>0</v>
      </c>
      <c r="R30" s="50">
        <f ca="1">O30*Settings_ReadMe!$C$35+'Pipe Section'!P30*Settings_ReadMe!$C$30+'Pipe Section'!Q30*Settings_ReadMe!$C$31</f>
        <v>0</v>
      </c>
      <c r="S30" s="38"/>
      <c r="T30" s="38"/>
      <c r="U30" s="38"/>
      <c r="V30" s="37"/>
      <c r="X30" s="54"/>
      <c r="Y30" s="55"/>
      <c r="Z30" s="55"/>
      <c r="AA30" s="55"/>
      <c r="AB30" s="55"/>
      <c r="AC30" s="55"/>
      <c r="AD30" s="107"/>
    </row>
    <row r="31" spans="1:30" x14ac:dyDescent="0.2">
      <c r="A31" s="9">
        <f t="shared" si="3"/>
        <v>27</v>
      </c>
      <c r="B31" s="3"/>
      <c r="C31" s="110"/>
      <c r="D31" s="110"/>
      <c r="E31" s="61"/>
      <c r="F31" s="45"/>
      <c r="G31" s="3"/>
      <c r="H31" s="3"/>
      <c r="I31" s="3"/>
      <c r="J31" s="46"/>
      <c r="K31" s="4"/>
      <c r="L31" s="45"/>
      <c r="M31" s="3"/>
      <c r="N31" s="46"/>
      <c r="O31" s="34">
        <f t="shared" ca="1" si="0"/>
        <v>0</v>
      </c>
      <c r="P31" s="5">
        <f t="shared" ca="1" si="1"/>
        <v>0</v>
      </c>
      <c r="Q31" s="35">
        <f t="shared" ca="1" si="2"/>
        <v>0</v>
      </c>
      <c r="R31" s="50">
        <f ca="1">O31*Settings_ReadMe!$C$35+'Pipe Section'!P31*Settings_ReadMe!$C$30+'Pipe Section'!Q31*Settings_ReadMe!$C$31</f>
        <v>0</v>
      </c>
      <c r="S31" s="38"/>
      <c r="T31" s="38"/>
      <c r="U31" s="38"/>
      <c r="V31" s="37"/>
      <c r="X31" s="54"/>
      <c r="Y31" s="55"/>
      <c r="Z31" s="55"/>
      <c r="AA31" s="55"/>
      <c r="AB31" s="55"/>
      <c r="AC31" s="55"/>
      <c r="AD31" s="107"/>
    </row>
    <row r="32" spans="1:30" x14ac:dyDescent="0.2">
      <c r="A32" s="9">
        <f t="shared" si="3"/>
        <v>28</v>
      </c>
      <c r="B32" s="3"/>
      <c r="C32" s="110"/>
      <c r="D32" s="110"/>
      <c r="E32" s="61"/>
      <c r="F32" s="45"/>
      <c r="G32" s="3"/>
      <c r="H32" s="3"/>
      <c r="I32" s="3"/>
      <c r="J32" s="46"/>
      <c r="K32" s="4"/>
      <c r="L32" s="45"/>
      <c r="M32" s="3"/>
      <c r="N32" s="46"/>
      <c r="O32" s="34">
        <f t="shared" ca="1" si="0"/>
        <v>0</v>
      </c>
      <c r="P32" s="5">
        <f t="shared" ca="1" si="1"/>
        <v>0</v>
      </c>
      <c r="Q32" s="35">
        <f t="shared" ca="1" si="2"/>
        <v>0</v>
      </c>
      <c r="R32" s="50">
        <f ca="1">O32*Settings_ReadMe!$C$35+'Pipe Section'!P32*Settings_ReadMe!$C$30+'Pipe Section'!Q32*Settings_ReadMe!$C$31</f>
        <v>0</v>
      </c>
      <c r="S32" s="38"/>
      <c r="T32" s="38"/>
      <c r="U32" s="38"/>
      <c r="V32" s="37"/>
      <c r="X32" s="54"/>
      <c r="Y32" s="55"/>
      <c r="Z32" s="55"/>
      <c r="AA32" s="55"/>
      <c r="AB32" s="55"/>
      <c r="AC32" s="55"/>
      <c r="AD32" s="107"/>
    </row>
    <row r="33" spans="1:30" x14ac:dyDescent="0.2">
      <c r="A33" s="9">
        <f t="shared" si="3"/>
        <v>29</v>
      </c>
      <c r="B33" s="3"/>
      <c r="C33" s="110"/>
      <c r="D33" s="110"/>
      <c r="E33" s="61"/>
      <c r="F33" s="45"/>
      <c r="G33" s="3"/>
      <c r="H33" s="3"/>
      <c r="I33" s="3"/>
      <c r="J33" s="46"/>
      <c r="K33" s="4"/>
      <c r="L33" s="45"/>
      <c r="M33" s="3"/>
      <c r="N33" s="46"/>
      <c r="O33" s="34">
        <f t="shared" ca="1" si="0"/>
        <v>0</v>
      </c>
      <c r="P33" s="5">
        <f t="shared" ca="1" si="1"/>
        <v>0</v>
      </c>
      <c r="Q33" s="35">
        <f t="shared" ca="1" si="2"/>
        <v>0</v>
      </c>
      <c r="R33" s="50">
        <f ca="1">O33*Settings_ReadMe!$C$35+'Pipe Section'!P33*Settings_ReadMe!$C$30+'Pipe Section'!Q33*Settings_ReadMe!$C$31</f>
        <v>0</v>
      </c>
      <c r="S33" s="38"/>
      <c r="T33" s="38"/>
      <c r="U33" s="38"/>
      <c r="V33" s="37"/>
      <c r="X33" s="54"/>
      <c r="Y33" s="55"/>
      <c r="Z33" s="55"/>
      <c r="AA33" s="55"/>
      <c r="AB33" s="55"/>
      <c r="AC33" s="55"/>
      <c r="AD33" s="107"/>
    </row>
    <row r="34" spans="1:30" x14ac:dyDescent="0.2">
      <c r="A34" s="9">
        <f t="shared" si="3"/>
        <v>30</v>
      </c>
      <c r="B34" s="3"/>
      <c r="C34" s="110"/>
      <c r="D34" s="110"/>
      <c r="E34" s="61"/>
      <c r="F34" s="45"/>
      <c r="G34" s="3"/>
      <c r="H34" s="3"/>
      <c r="I34" s="3"/>
      <c r="J34" s="46"/>
      <c r="K34" s="4"/>
      <c r="L34" s="45"/>
      <c r="M34" s="3"/>
      <c r="N34" s="46"/>
      <c r="O34" s="34">
        <f t="shared" ca="1" si="0"/>
        <v>0</v>
      </c>
      <c r="P34" s="5">
        <f t="shared" ca="1" si="1"/>
        <v>0</v>
      </c>
      <c r="Q34" s="35">
        <f t="shared" ca="1" si="2"/>
        <v>0</v>
      </c>
      <c r="R34" s="50">
        <f ca="1">O34*Settings_ReadMe!$C$35+'Pipe Section'!P34*Settings_ReadMe!$C$30+'Pipe Section'!Q34*Settings_ReadMe!$C$31</f>
        <v>0</v>
      </c>
      <c r="S34" s="38"/>
      <c r="T34" s="38"/>
      <c r="U34" s="38"/>
      <c r="V34" s="37"/>
      <c r="X34" s="54"/>
      <c r="Y34" s="55"/>
      <c r="Z34" s="55"/>
      <c r="AA34" s="55"/>
      <c r="AB34" s="55"/>
      <c r="AC34" s="55"/>
      <c r="AD34" s="107"/>
    </row>
    <row r="35" spans="1:30" x14ac:dyDescent="0.2">
      <c r="A35" s="9">
        <f t="shared" si="3"/>
        <v>31</v>
      </c>
      <c r="B35" s="3"/>
      <c r="C35" s="110"/>
      <c r="D35" s="110"/>
      <c r="E35" s="61"/>
      <c r="F35" s="45"/>
      <c r="G35" s="3"/>
      <c r="H35" s="3"/>
      <c r="I35" s="3"/>
      <c r="J35" s="46"/>
      <c r="K35" s="4"/>
      <c r="L35" s="45"/>
      <c r="M35" s="3"/>
      <c r="N35" s="46"/>
      <c r="O35" s="34">
        <f t="shared" ca="1" si="0"/>
        <v>0</v>
      </c>
      <c r="P35" s="5">
        <f t="shared" ca="1" si="1"/>
        <v>0</v>
      </c>
      <c r="Q35" s="35">
        <f t="shared" ca="1" si="2"/>
        <v>0</v>
      </c>
      <c r="R35" s="50">
        <f ca="1">O35*Settings_ReadMe!$C$35+'Pipe Section'!P35*Settings_ReadMe!$C$30+'Pipe Section'!Q35*Settings_ReadMe!$C$31</f>
        <v>0</v>
      </c>
      <c r="S35" s="38"/>
      <c r="T35" s="38"/>
      <c r="U35" s="38"/>
      <c r="V35" s="37"/>
      <c r="X35" s="54"/>
      <c r="Y35" s="55"/>
      <c r="Z35" s="55"/>
      <c r="AA35" s="55"/>
      <c r="AB35" s="55"/>
      <c r="AC35" s="55"/>
      <c r="AD35" s="107"/>
    </row>
    <row r="36" spans="1:30" x14ac:dyDescent="0.2">
      <c r="A36" s="9">
        <f t="shared" si="3"/>
        <v>32</v>
      </c>
      <c r="B36" s="3"/>
      <c r="C36" s="110"/>
      <c r="D36" s="110"/>
      <c r="E36" s="61"/>
      <c r="F36" s="45"/>
      <c r="G36" s="3"/>
      <c r="H36" s="3"/>
      <c r="I36" s="3"/>
      <c r="J36" s="46"/>
      <c r="K36" s="4"/>
      <c r="L36" s="45"/>
      <c r="M36" s="3"/>
      <c r="N36" s="46"/>
      <c r="O36" s="34">
        <f t="shared" ca="1" si="0"/>
        <v>0</v>
      </c>
      <c r="P36" s="5">
        <f t="shared" ca="1" si="1"/>
        <v>0</v>
      </c>
      <c r="Q36" s="35">
        <f t="shared" ca="1" si="2"/>
        <v>0</v>
      </c>
      <c r="R36" s="50">
        <f ca="1">O36*Settings_ReadMe!$C$35+'Pipe Section'!P36*Settings_ReadMe!$C$30+'Pipe Section'!Q36*Settings_ReadMe!$C$31</f>
        <v>0</v>
      </c>
      <c r="S36" s="38"/>
      <c r="T36" s="38"/>
      <c r="U36" s="38"/>
      <c r="V36" s="37"/>
      <c r="X36" s="54"/>
      <c r="Y36" s="55"/>
      <c r="Z36" s="55"/>
      <c r="AA36" s="55"/>
      <c r="AB36" s="55"/>
      <c r="AC36" s="55"/>
      <c r="AD36" s="107"/>
    </row>
    <row r="37" spans="1:30" x14ac:dyDescent="0.2">
      <c r="A37" s="9">
        <f t="shared" si="3"/>
        <v>33</v>
      </c>
      <c r="B37" s="3"/>
      <c r="C37" s="110"/>
      <c r="D37" s="110"/>
      <c r="E37" s="61"/>
      <c r="F37" s="45"/>
      <c r="G37" s="3"/>
      <c r="H37" s="3"/>
      <c r="I37" s="3"/>
      <c r="J37" s="46"/>
      <c r="K37" s="4"/>
      <c r="L37" s="45"/>
      <c r="M37" s="3"/>
      <c r="N37" s="46"/>
      <c r="O37" s="34">
        <f t="shared" ref="O37:O54" ca="1" si="4">L37+INDIRECT(LEFT(ADDRESS(1,COLUMN(),2),1+(COLUMN()&gt;26)) &amp; ROW($A$4)+$F37)+INDIRECT(LEFT(ADDRESS(1,COLUMN(),2),1+(COLUMN()&gt;26)) &amp; ROW($A$4)+$G37)+INDIRECT(LEFT(ADDRESS(1,COLUMN(),2),1+(COLUMN()&gt;26)) &amp; ROW($A$4)+$H37)+INDIRECT(LEFT(ADDRESS(1,COLUMN(),2),1+(COLUMN()&gt;26)) &amp; ROW($A$4)+$I37)+INDIRECT(LEFT(ADDRESS(1,COLUMN(),2),1+(COLUMN()&gt;26)) &amp; ROW($A$4)+$J37)</f>
        <v>0</v>
      </c>
      <c r="P37" s="5">
        <f t="shared" ref="P37:P54" ca="1" si="5">M37+INDIRECT(LEFT(ADDRESS(1,COLUMN(),2),1+(COLUMN()&gt;26)) &amp; ROW($A$4)+$F37)+INDIRECT(LEFT(ADDRESS(1,COLUMN(),2),1+(COLUMN()&gt;26)) &amp; ROW($A$4)+$G37)+INDIRECT(LEFT(ADDRESS(1,COLUMN(),2),1+(COLUMN()&gt;26)) &amp; ROW($A$4)+$H37)+INDIRECT(LEFT(ADDRESS(1,COLUMN(),2),1+(COLUMN()&gt;26)) &amp; ROW($A$4)+$I37)+INDIRECT(LEFT(ADDRESS(1,COLUMN(),2),1+(COLUMN()&gt;26)) &amp; ROW($A$4)+$J37)</f>
        <v>0</v>
      </c>
      <c r="Q37" s="35">
        <f t="shared" ref="Q37:Q54" ca="1" si="6">N37+INDIRECT(LEFT(ADDRESS(1,COLUMN(),2),1+(COLUMN()&gt;26)) &amp; ROW($A$4)+$F37)+INDIRECT(LEFT(ADDRESS(1,COLUMN(),2),1+(COLUMN()&gt;26)) &amp; ROW($A$4)+$G37)+INDIRECT(LEFT(ADDRESS(1,COLUMN(),2),1+(COLUMN()&gt;26)) &amp; ROW($A$4)+$H37)+INDIRECT(LEFT(ADDRESS(1,COLUMN(),2),1+(COLUMN()&gt;26)) &amp; ROW($A$4)+$I37)+INDIRECT(LEFT(ADDRESS(1,COLUMN(),2),1+(COLUMN()&gt;26)) &amp; ROW($A$4)+$J37)</f>
        <v>0</v>
      </c>
      <c r="R37" s="50">
        <f ca="1">O37*Settings_ReadMe!$C$35+'Pipe Section'!P37*Settings_ReadMe!$C$30+'Pipe Section'!Q37*Settings_ReadMe!$C$31</f>
        <v>0</v>
      </c>
      <c r="S37" s="38"/>
      <c r="T37" s="38"/>
      <c r="U37" s="38"/>
      <c r="V37" s="37"/>
      <c r="X37" s="54"/>
      <c r="Y37" s="55"/>
      <c r="Z37" s="55"/>
      <c r="AA37" s="55"/>
      <c r="AB37" s="55"/>
      <c r="AC37" s="55"/>
      <c r="AD37" s="107"/>
    </row>
    <row r="38" spans="1:30" x14ac:dyDescent="0.2">
      <c r="A38" s="9">
        <f t="shared" si="3"/>
        <v>34</v>
      </c>
      <c r="B38" s="3"/>
      <c r="C38" s="110"/>
      <c r="D38" s="110"/>
      <c r="E38" s="61"/>
      <c r="F38" s="45"/>
      <c r="G38" s="3"/>
      <c r="H38" s="3"/>
      <c r="I38" s="3"/>
      <c r="J38" s="46"/>
      <c r="K38" s="4"/>
      <c r="L38" s="45"/>
      <c r="M38" s="3"/>
      <c r="N38" s="46"/>
      <c r="O38" s="34">
        <f t="shared" ca="1" si="4"/>
        <v>0</v>
      </c>
      <c r="P38" s="5">
        <f t="shared" ca="1" si="5"/>
        <v>0</v>
      </c>
      <c r="Q38" s="35">
        <f t="shared" ca="1" si="6"/>
        <v>0</v>
      </c>
      <c r="R38" s="50">
        <f ca="1">O38*Settings_ReadMe!$C$35+'Pipe Section'!P38*Settings_ReadMe!$C$30+'Pipe Section'!Q38*Settings_ReadMe!$C$31</f>
        <v>0</v>
      </c>
      <c r="S38" s="38"/>
      <c r="T38" s="38"/>
      <c r="U38" s="38"/>
      <c r="V38" s="37"/>
      <c r="X38" s="54"/>
      <c r="Y38" s="55"/>
      <c r="Z38" s="55"/>
      <c r="AA38" s="55"/>
      <c r="AB38" s="55"/>
      <c r="AC38" s="55"/>
      <c r="AD38" s="107"/>
    </row>
    <row r="39" spans="1:30" x14ac:dyDescent="0.2">
      <c r="A39" s="9">
        <f t="shared" si="3"/>
        <v>35</v>
      </c>
      <c r="B39" s="3"/>
      <c r="C39" s="110"/>
      <c r="D39" s="110"/>
      <c r="E39" s="61"/>
      <c r="F39" s="45"/>
      <c r="G39" s="3"/>
      <c r="H39" s="3"/>
      <c r="I39" s="3"/>
      <c r="J39" s="46"/>
      <c r="K39" s="4"/>
      <c r="L39" s="45"/>
      <c r="M39" s="3"/>
      <c r="N39" s="46"/>
      <c r="O39" s="34">
        <f t="shared" ca="1" si="4"/>
        <v>0</v>
      </c>
      <c r="P39" s="5">
        <f t="shared" ca="1" si="5"/>
        <v>0</v>
      </c>
      <c r="Q39" s="35">
        <f t="shared" ca="1" si="6"/>
        <v>0</v>
      </c>
      <c r="R39" s="50">
        <f ca="1">O39*Settings_ReadMe!$C$35+'Pipe Section'!P39*Settings_ReadMe!$C$30+'Pipe Section'!Q39*Settings_ReadMe!$C$31</f>
        <v>0</v>
      </c>
      <c r="S39" s="38"/>
      <c r="T39" s="38"/>
      <c r="U39" s="38"/>
      <c r="V39" s="37"/>
      <c r="X39" s="54"/>
      <c r="Y39" s="55"/>
      <c r="Z39" s="55"/>
      <c r="AA39" s="55"/>
      <c r="AB39" s="55"/>
      <c r="AC39" s="55"/>
      <c r="AD39" s="107"/>
    </row>
    <row r="40" spans="1:30" x14ac:dyDescent="0.2">
      <c r="A40" s="9">
        <f t="shared" si="3"/>
        <v>36</v>
      </c>
      <c r="B40" s="3"/>
      <c r="C40" s="110"/>
      <c r="D40" s="110"/>
      <c r="E40" s="61"/>
      <c r="F40" s="45"/>
      <c r="G40" s="3"/>
      <c r="H40" s="3"/>
      <c r="I40" s="3"/>
      <c r="J40" s="46"/>
      <c r="K40" s="4"/>
      <c r="L40" s="45"/>
      <c r="M40" s="3"/>
      <c r="N40" s="46"/>
      <c r="O40" s="34">
        <f t="shared" ca="1" si="4"/>
        <v>0</v>
      </c>
      <c r="P40" s="5">
        <f t="shared" ca="1" si="5"/>
        <v>0</v>
      </c>
      <c r="Q40" s="35">
        <f t="shared" ca="1" si="6"/>
        <v>0</v>
      </c>
      <c r="R40" s="50">
        <f ca="1">O40*Settings_ReadMe!$C$35+'Pipe Section'!P40*Settings_ReadMe!$C$30+'Pipe Section'!Q40*Settings_ReadMe!$C$31</f>
        <v>0</v>
      </c>
      <c r="S40" s="38"/>
      <c r="T40" s="38"/>
      <c r="U40" s="38"/>
      <c r="V40" s="37"/>
      <c r="X40" s="54"/>
      <c r="Y40" s="55"/>
      <c r="Z40" s="55"/>
      <c r="AA40" s="55"/>
      <c r="AB40" s="55"/>
      <c r="AC40" s="55"/>
      <c r="AD40" s="107"/>
    </row>
    <row r="41" spans="1:30" x14ac:dyDescent="0.2">
      <c r="A41" s="9">
        <f t="shared" si="3"/>
        <v>37</v>
      </c>
      <c r="B41" s="3"/>
      <c r="C41" s="110"/>
      <c r="D41" s="110"/>
      <c r="E41" s="61"/>
      <c r="F41" s="45"/>
      <c r="G41" s="3"/>
      <c r="H41" s="3"/>
      <c r="I41" s="3"/>
      <c r="J41" s="46"/>
      <c r="K41" s="4"/>
      <c r="L41" s="45"/>
      <c r="M41" s="3"/>
      <c r="N41" s="46"/>
      <c r="O41" s="34">
        <f t="shared" ca="1" si="4"/>
        <v>0</v>
      </c>
      <c r="P41" s="5">
        <f t="shared" ca="1" si="5"/>
        <v>0</v>
      </c>
      <c r="Q41" s="35">
        <f t="shared" ca="1" si="6"/>
        <v>0</v>
      </c>
      <c r="R41" s="50">
        <f ca="1">O41*Settings_ReadMe!$C$35+'Pipe Section'!P41*Settings_ReadMe!$C$30+'Pipe Section'!Q41*Settings_ReadMe!$C$31</f>
        <v>0</v>
      </c>
      <c r="S41" s="38"/>
      <c r="T41" s="38"/>
      <c r="U41" s="38"/>
      <c r="V41" s="37"/>
      <c r="X41" s="54"/>
      <c r="Y41" s="55"/>
      <c r="Z41" s="55"/>
      <c r="AA41" s="55"/>
      <c r="AB41" s="55"/>
      <c r="AC41" s="55"/>
      <c r="AD41" s="107"/>
    </row>
    <row r="42" spans="1:30" x14ac:dyDescent="0.2">
      <c r="A42" s="9">
        <f t="shared" si="3"/>
        <v>38</v>
      </c>
      <c r="B42" s="3"/>
      <c r="C42" s="110"/>
      <c r="D42" s="110"/>
      <c r="E42" s="61"/>
      <c r="F42" s="45"/>
      <c r="G42" s="3"/>
      <c r="H42" s="3"/>
      <c r="I42" s="3"/>
      <c r="J42" s="46"/>
      <c r="K42" s="4"/>
      <c r="L42" s="45"/>
      <c r="M42" s="3"/>
      <c r="N42" s="46"/>
      <c r="O42" s="34">
        <f t="shared" ca="1" si="4"/>
        <v>0</v>
      </c>
      <c r="P42" s="5">
        <f t="shared" ca="1" si="5"/>
        <v>0</v>
      </c>
      <c r="Q42" s="35">
        <f t="shared" ca="1" si="6"/>
        <v>0</v>
      </c>
      <c r="R42" s="50">
        <f ca="1">O42*Settings_ReadMe!$C$35+'Pipe Section'!P42*Settings_ReadMe!$C$30+'Pipe Section'!Q42*Settings_ReadMe!$C$31</f>
        <v>0</v>
      </c>
      <c r="S42" s="38"/>
      <c r="T42" s="38"/>
      <c r="U42" s="38"/>
      <c r="V42" s="37"/>
      <c r="X42" s="54"/>
      <c r="Y42" s="55"/>
      <c r="Z42" s="55"/>
      <c r="AA42" s="55"/>
      <c r="AB42" s="55"/>
      <c r="AC42" s="55"/>
      <c r="AD42" s="107"/>
    </row>
    <row r="43" spans="1:30" x14ac:dyDescent="0.2">
      <c r="A43" s="9">
        <f t="shared" si="3"/>
        <v>39</v>
      </c>
      <c r="B43" s="3"/>
      <c r="C43" s="110"/>
      <c r="D43" s="110"/>
      <c r="E43" s="61"/>
      <c r="F43" s="45"/>
      <c r="G43" s="3"/>
      <c r="H43" s="3"/>
      <c r="I43" s="3"/>
      <c r="J43" s="46"/>
      <c r="K43" s="4"/>
      <c r="L43" s="45"/>
      <c r="M43" s="3"/>
      <c r="N43" s="46"/>
      <c r="O43" s="34">
        <f t="shared" ca="1" si="4"/>
        <v>0</v>
      </c>
      <c r="P43" s="5">
        <f t="shared" ca="1" si="5"/>
        <v>0</v>
      </c>
      <c r="Q43" s="35">
        <f t="shared" ca="1" si="6"/>
        <v>0</v>
      </c>
      <c r="R43" s="50">
        <f ca="1">O43*Settings_ReadMe!$C$35+'Pipe Section'!P43*Settings_ReadMe!$C$30+'Pipe Section'!Q43*Settings_ReadMe!$C$31</f>
        <v>0</v>
      </c>
      <c r="S43" s="38"/>
      <c r="T43" s="38"/>
      <c r="U43" s="38"/>
      <c r="V43" s="37"/>
      <c r="X43" s="54"/>
      <c r="Y43" s="55"/>
      <c r="Z43" s="55"/>
      <c r="AA43" s="55"/>
      <c r="AB43" s="55"/>
      <c r="AC43" s="55"/>
      <c r="AD43" s="107"/>
    </row>
    <row r="44" spans="1:30" x14ac:dyDescent="0.2">
      <c r="A44" s="9">
        <f t="shared" si="3"/>
        <v>40</v>
      </c>
      <c r="B44" s="3"/>
      <c r="C44" s="110"/>
      <c r="D44" s="110"/>
      <c r="E44" s="61"/>
      <c r="F44" s="45"/>
      <c r="G44" s="3"/>
      <c r="H44" s="3"/>
      <c r="I44" s="3"/>
      <c r="J44" s="46"/>
      <c r="K44" s="4"/>
      <c r="L44" s="45"/>
      <c r="M44" s="3"/>
      <c r="N44" s="46"/>
      <c r="O44" s="34">
        <f t="shared" ca="1" si="4"/>
        <v>0</v>
      </c>
      <c r="P44" s="5">
        <f t="shared" ca="1" si="5"/>
        <v>0</v>
      </c>
      <c r="Q44" s="35">
        <f t="shared" ca="1" si="6"/>
        <v>0</v>
      </c>
      <c r="R44" s="50">
        <f ca="1">O44*Settings_ReadMe!$C$35+'Pipe Section'!P44*Settings_ReadMe!$C$30+'Pipe Section'!Q44*Settings_ReadMe!$C$31</f>
        <v>0</v>
      </c>
      <c r="S44" s="38"/>
      <c r="T44" s="38"/>
      <c r="U44" s="38"/>
      <c r="V44" s="37"/>
      <c r="X44" s="54"/>
      <c r="Y44" s="55"/>
      <c r="Z44" s="55"/>
      <c r="AA44" s="55"/>
      <c r="AB44" s="55"/>
      <c r="AC44" s="55"/>
      <c r="AD44" s="107"/>
    </row>
    <row r="45" spans="1:30" x14ac:dyDescent="0.2">
      <c r="A45" s="9">
        <f t="shared" si="3"/>
        <v>41</v>
      </c>
      <c r="B45" s="3"/>
      <c r="C45" s="110"/>
      <c r="D45" s="110"/>
      <c r="E45" s="61"/>
      <c r="F45" s="45"/>
      <c r="G45" s="3"/>
      <c r="H45" s="3"/>
      <c r="I45" s="3"/>
      <c r="J45" s="46"/>
      <c r="K45" s="4"/>
      <c r="L45" s="45"/>
      <c r="M45" s="3"/>
      <c r="N45" s="46"/>
      <c r="O45" s="34">
        <f t="shared" ca="1" si="4"/>
        <v>0</v>
      </c>
      <c r="P45" s="5">
        <f t="shared" ca="1" si="5"/>
        <v>0</v>
      </c>
      <c r="Q45" s="35">
        <f t="shared" ca="1" si="6"/>
        <v>0</v>
      </c>
      <c r="R45" s="50">
        <f ca="1">O45*Settings_ReadMe!$C$35+'Pipe Section'!P45*Settings_ReadMe!$C$30+'Pipe Section'!Q45*Settings_ReadMe!$C$31</f>
        <v>0</v>
      </c>
      <c r="S45" s="38"/>
      <c r="T45" s="38"/>
      <c r="U45" s="38"/>
      <c r="V45" s="37"/>
      <c r="X45" s="54"/>
      <c r="Y45" s="55"/>
      <c r="Z45" s="55"/>
      <c r="AA45" s="55"/>
      <c r="AB45" s="55"/>
      <c r="AC45" s="55"/>
      <c r="AD45" s="107"/>
    </row>
    <row r="46" spans="1:30" x14ac:dyDescent="0.2">
      <c r="A46" s="9">
        <f t="shared" si="3"/>
        <v>42</v>
      </c>
      <c r="B46" s="3"/>
      <c r="C46" s="110"/>
      <c r="D46" s="110"/>
      <c r="E46" s="61"/>
      <c r="F46" s="45"/>
      <c r="G46" s="3"/>
      <c r="H46" s="3"/>
      <c r="I46" s="3"/>
      <c r="J46" s="46"/>
      <c r="K46" s="4"/>
      <c r="L46" s="45"/>
      <c r="M46" s="3"/>
      <c r="N46" s="46"/>
      <c r="O46" s="34">
        <f t="shared" ca="1" si="4"/>
        <v>0</v>
      </c>
      <c r="P46" s="5">
        <f t="shared" ca="1" si="5"/>
        <v>0</v>
      </c>
      <c r="Q46" s="35">
        <f t="shared" ca="1" si="6"/>
        <v>0</v>
      </c>
      <c r="R46" s="50">
        <f ca="1">O46*Settings_ReadMe!$C$35+'Pipe Section'!P46*Settings_ReadMe!$C$30+'Pipe Section'!Q46*Settings_ReadMe!$C$31</f>
        <v>0</v>
      </c>
      <c r="S46" s="38"/>
      <c r="T46" s="38"/>
      <c r="U46" s="38"/>
      <c r="V46" s="37"/>
      <c r="X46" s="54"/>
      <c r="Y46" s="55"/>
      <c r="Z46" s="55"/>
      <c r="AA46" s="55"/>
      <c r="AB46" s="55"/>
      <c r="AC46" s="55"/>
      <c r="AD46" s="107"/>
    </row>
    <row r="47" spans="1:30" x14ac:dyDescent="0.2">
      <c r="A47" s="9">
        <f t="shared" si="3"/>
        <v>43</v>
      </c>
      <c r="B47" s="3"/>
      <c r="C47" s="110"/>
      <c r="D47" s="110"/>
      <c r="E47" s="61"/>
      <c r="F47" s="45"/>
      <c r="G47" s="3"/>
      <c r="H47" s="3"/>
      <c r="I47" s="3"/>
      <c r="J47" s="46"/>
      <c r="K47" s="4"/>
      <c r="L47" s="45"/>
      <c r="M47" s="3"/>
      <c r="N47" s="46"/>
      <c r="O47" s="34">
        <f t="shared" ca="1" si="4"/>
        <v>0</v>
      </c>
      <c r="P47" s="5">
        <f t="shared" ca="1" si="5"/>
        <v>0</v>
      </c>
      <c r="Q47" s="35">
        <f t="shared" ca="1" si="6"/>
        <v>0</v>
      </c>
      <c r="R47" s="50">
        <f ca="1">O47*Settings_ReadMe!$C$35+'Pipe Section'!P47*Settings_ReadMe!$C$30+'Pipe Section'!Q47*Settings_ReadMe!$C$31</f>
        <v>0</v>
      </c>
      <c r="S47" s="38"/>
      <c r="T47" s="38"/>
      <c r="U47" s="38"/>
      <c r="V47" s="37"/>
      <c r="X47" s="54"/>
      <c r="Y47" s="55"/>
      <c r="Z47" s="55"/>
      <c r="AA47" s="55"/>
      <c r="AB47" s="55"/>
      <c r="AC47" s="55"/>
      <c r="AD47" s="107"/>
    </row>
    <row r="48" spans="1:30" x14ac:dyDescent="0.2">
      <c r="A48" s="9">
        <f t="shared" si="3"/>
        <v>44</v>
      </c>
      <c r="B48" s="3"/>
      <c r="C48" s="110"/>
      <c r="D48" s="110"/>
      <c r="E48" s="61"/>
      <c r="F48" s="45"/>
      <c r="G48" s="3"/>
      <c r="H48" s="3"/>
      <c r="I48" s="3"/>
      <c r="J48" s="46"/>
      <c r="K48" s="4"/>
      <c r="L48" s="45"/>
      <c r="M48" s="3"/>
      <c r="N48" s="46"/>
      <c r="O48" s="34">
        <f t="shared" ca="1" si="4"/>
        <v>0</v>
      </c>
      <c r="P48" s="5">
        <f t="shared" ca="1" si="5"/>
        <v>0</v>
      </c>
      <c r="Q48" s="35">
        <f t="shared" ca="1" si="6"/>
        <v>0</v>
      </c>
      <c r="R48" s="50">
        <f ca="1">O48*Settings_ReadMe!$C$35+'Pipe Section'!P48*Settings_ReadMe!$C$30+'Pipe Section'!Q48*Settings_ReadMe!$C$31</f>
        <v>0</v>
      </c>
      <c r="S48" s="38"/>
      <c r="T48" s="38"/>
      <c r="U48" s="38"/>
      <c r="V48" s="37"/>
      <c r="X48" s="54"/>
      <c r="Y48" s="55"/>
      <c r="Z48" s="55"/>
      <c r="AA48" s="55"/>
      <c r="AB48" s="55"/>
      <c r="AC48" s="55"/>
      <c r="AD48" s="107"/>
    </row>
    <row r="49" spans="1:30" x14ac:dyDescent="0.2">
      <c r="A49" s="9">
        <f t="shared" si="3"/>
        <v>45</v>
      </c>
      <c r="B49" s="3"/>
      <c r="C49" s="110"/>
      <c r="D49" s="110"/>
      <c r="E49" s="61"/>
      <c r="F49" s="45"/>
      <c r="G49" s="3"/>
      <c r="H49" s="3"/>
      <c r="I49" s="3"/>
      <c r="J49" s="46"/>
      <c r="K49" s="4"/>
      <c r="L49" s="45"/>
      <c r="M49" s="3"/>
      <c r="N49" s="46"/>
      <c r="O49" s="34">
        <f t="shared" ca="1" si="4"/>
        <v>0</v>
      </c>
      <c r="P49" s="5">
        <f t="shared" ca="1" si="5"/>
        <v>0</v>
      </c>
      <c r="Q49" s="35">
        <f t="shared" ca="1" si="6"/>
        <v>0</v>
      </c>
      <c r="R49" s="50">
        <f ca="1">O49*Settings_ReadMe!$C$35+'Pipe Section'!P49*Settings_ReadMe!$C$30+'Pipe Section'!Q49*Settings_ReadMe!$C$31</f>
        <v>0</v>
      </c>
      <c r="S49" s="38"/>
      <c r="T49" s="38"/>
      <c r="U49" s="38"/>
      <c r="V49" s="37"/>
      <c r="X49" s="54"/>
      <c r="Y49" s="55"/>
      <c r="Z49" s="55"/>
      <c r="AA49" s="55"/>
      <c r="AB49" s="55"/>
      <c r="AC49" s="55"/>
      <c r="AD49" s="107"/>
    </row>
    <row r="50" spans="1:30" x14ac:dyDescent="0.2">
      <c r="A50" s="9">
        <f t="shared" si="3"/>
        <v>46</v>
      </c>
      <c r="B50" s="3"/>
      <c r="C50" s="110"/>
      <c r="D50" s="110"/>
      <c r="E50" s="61"/>
      <c r="F50" s="45"/>
      <c r="G50" s="3"/>
      <c r="H50" s="3"/>
      <c r="I50" s="3"/>
      <c r="J50" s="46"/>
      <c r="K50" s="4"/>
      <c r="L50" s="45"/>
      <c r="M50" s="3"/>
      <c r="N50" s="46"/>
      <c r="O50" s="34">
        <f t="shared" ca="1" si="4"/>
        <v>0</v>
      </c>
      <c r="P50" s="5">
        <f t="shared" ca="1" si="5"/>
        <v>0</v>
      </c>
      <c r="Q50" s="35">
        <f t="shared" ca="1" si="6"/>
        <v>0</v>
      </c>
      <c r="R50" s="50">
        <f ca="1">O50*Settings_ReadMe!$C$35+'Pipe Section'!P50*Settings_ReadMe!$C$30+'Pipe Section'!Q50*Settings_ReadMe!$C$31</f>
        <v>0</v>
      </c>
      <c r="S50" s="38"/>
      <c r="T50" s="38"/>
      <c r="U50" s="38"/>
      <c r="V50" s="37"/>
      <c r="X50" s="54"/>
      <c r="Y50" s="55"/>
      <c r="Z50" s="55"/>
      <c r="AA50" s="55"/>
      <c r="AB50" s="55"/>
      <c r="AC50" s="55"/>
      <c r="AD50" s="107"/>
    </row>
    <row r="51" spans="1:30" x14ac:dyDescent="0.2">
      <c r="A51" s="9">
        <f t="shared" si="3"/>
        <v>47</v>
      </c>
      <c r="B51" s="3"/>
      <c r="C51" s="110"/>
      <c r="D51" s="110"/>
      <c r="E51" s="61"/>
      <c r="F51" s="45"/>
      <c r="G51" s="3"/>
      <c r="H51" s="3"/>
      <c r="I51" s="3"/>
      <c r="J51" s="46"/>
      <c r="K51" s="4"/>
      <c r="L51" s="45"/>
      <c r="M51" s="3"/>
      <c r="N51" s="46"/>
      <c r="O51" s="34">
        <f t="shared" ca="1" si="4"/>
        <v>0</v>
      </c>
      <c r="P51" s="5">
        <f t="shared" ca="1" si="5"/>
        <v>0</v>
      </c>
      <c r="Q51" s="35">
        <f t="shared" ca="1" si="6"/>
        <v>0</v>
      </c>
      <c r="R51" s="50">
        <f ca="1">O51*Settings_ReadMe!$C$35+'Pipe Section'!P51*Settings_ReadMe!$C$30+'Pipe Section'!Q51*Settings_ReadMe!$C$31</f>
        <v>0</v>
      </c>
      <c r="S51" s="38"/>
      <c r="T51" s="38"/>
      <c r="U51" s="38"/>
      <c r="V51" s="37"/>
      <c r="X51" s="54"/>
      <c r="Y51" s="55"/>
      <c r="Z51" s="55"/>
      <c r="AA51" s="55"/>
      <c r="AB51" s="55"/>
      <c r="AC51" s="55"/>
      <c r="AD51" s="107"/>
    </row>
    <row r="52" spans="1:30" x14ac:dyDescent="0.2">
      <c r="A52" s="9">
        <f t="shared" si="3"/>
        <v>48</v>
      </c>
      <c r="B52" s="3"/>
      <c r="C52" s="110"/>
      <c r="D52" s="110"/>
      <c r="E52" s="61"/>
      <c r="F52" s="45"/>
      <c r="G52" s="3"/>
      <c r="H52" s="3"/>
      <c r="I52" s="3"/>
      <c r="J52" s="46"/>
      <c r="K52" s="4"/>
      <c r="L52" s="45"/>
      <c r="M52" s="3"/>
      <c r="N52" s="46"/>
      <c r="O52" s="34">
        <f t="shared" ca="1" si="4"/>
        <v>0</v>
      </c>
      <c r="P52" s="5">
        <f t="shared" ca="1" si="5"/>
        <v>0</v>
      </c>
      <c r="Q52" s="35">
        <f t="shared" ca="1" si="6"/>
        <v>0</v>
      </c>
      <c r="R52" s="50">
        <f ca="1">O52*Settings_ReadMe!$C$35+'Pipe Section'!P52*Settings_ReadMe!$C$30+'Pipe Section'!Q52*Settings_ReadMe!$C$31</f>
        <v>0</v>
      </c>
      <c r="S52" s="38"/>
      <c r="T52" s="38"/>
      <c r="U52" s="38"/>
      <c r="V52" s="37"/>
      <c r="X52" s="54"/>
      <c r="Y52" s="55"/>
      <c r="Z52" s="55"/>
      <c r="AA52" s="55"/>
      <c r="AB52" s="55"/>
      <c r="AC52" s="55"/>
      <c r="AD52" s="107"/>
    </row>
    <row r="53" spans="1:30" x14ac:dyDescent="0.2">
      <c r="A53" s="9">
        <f t="shared" si="3"/>
        <v>49</v>
      </c>
      <c r="B53" s="3"/>
      <c r="C53" s="110"/>
      <c r="D53" s="110"/>
      <c r="E53" s="61"/>
      <c r="F53" s="45"/>
      <c r="G53" s="3"/>
      <c r="H53" s="3"/>
      <c r="I53" s="3"/>
      <c r="J53" s="46"/>
      <c r="K53" s="4"/>
      <c r="L53" s="45"/>
      <c r="M53" s="3"/>
      <c r="N53" s="46"/>
      <c r="O53" s="34">
        <f t="shared" ca="1" si="4"/>
        <v>0</v>
      </c>
      <c r="P53" s="5">
        <f t="shared" ca="1" si="5"/>
        <v>0</v>
      </c>
      <c r="Q53" s="35">
        <f t="shared" ca="1" si="6"/>
        <v>0</v>
      </c>
      <c r="R53" s="50">
        <f ca="1">O53*Settings_ReadMe!$C$35+'Pipe Section'!P53*Settings_ReadMe!$C$30+'Pipe Section'!Q53*Settings_ReadMe!$C$31</f>
        <v>0</v>
      </c>
      <c r="S53" s="38"/>
      <c r="T53" s="38"/>
      <c r="U53" s="38"/>
      <c r="V53" s="37"/>
      <c r="X53" s="54"/>
      <c r="Y53" s="55"/>
      <c r="Z53" s="55"/>
      <c r="AA53" s="55"/>
      <c r="AB53" s="55"/>
      <c r="AC53" s="55"/>
      <c r="AD53" s="107"/>
    </row>
    <row r="54" spans="1:30" ht="13.5" thickBot="1" x14ac:dyDescent="0.25">
      <c r="A54" s="14">
        <f t="shared" si="3"/>
        <v>50</v>
      </c>
      <c r="B54" s="15"/>
      <c r="C54" s="111"/>
      <c r="D54" s="111"/>
      <c r="E54" s="62"/>
      <c r="F54" s="47"/>
      <c r="G54" s="15"/>
      <c r="H54" s="15"/>
      <c r="I54" s="15"/>
      <c r="J54" s="48"/>
      <c r="K54" s="16"/>
      <c r="L54" s="47"/>
      <c r="M54" s="15"/>
      <c r="N54" s="48"/>
      <c r="O54" s="39">
        <f t="shared" ca="1" si="4"/>
        <v>0</v>
      </c>
      <c r="P54" s="17">
        <f t="shared" ca="1" si="5"/>
        <v>0</v>
      </c>
      <c r="Q54" s="40">
        <f t="shared" ca="1" si="6"/>
        <v>0</v>
      </c>
      <c r="R54" s="51">
        <f ca="1">O54*Settings_ReadMe!$C$35+'Pipe Section'!P54*Settings_ReadMe!$C$30+'Pipe Section'!Q54*Settings_ReadMe!$C$31</f>
        <v>0</v>
      </c>
      <c r="S54" s="41"/>
      <c r="T54" s="41"/>
      <c r="U54" s="41"/>
      <c r="V54" s="42"/>
      <c r="X54" s="57"/>
      <c r="Y54" s="58"/>
      <c r="Z54" s="58"/>
      <c r="AA54" s="58"/>
      <c r="AB54" s="58"/>
      <c r="AC54" s="58"/>
      <c r="AD54" s="108"/>
    </row>
  </sheetData>
  <mergeCells count="12">
    <mergeCell ref="X2:AD2"/>
    <mergeCell ref="C2:D3"/>
    <mergeCell ref="R2:V2"/>
    <mergeCell ref="F1:Q1"/>
    <mergeCell ref="A1:E1"/>
    <mergeCell ref="K2:K3"/>
    <mergeCell ref="F2:J3"/>
    <mergeCell ref="A2:A3"/>
    <mergeCell ref="B2:B3"/>
    <mergeCell ref="E2:E3"/>
    <mergeCell ref="L2:N2"/>
    <mergeCell ref="O2:Q2"/>
  </mergeCells>
  <conditionalFormatting sqref="V5:V54">
    <cfRule type="cellIs" dxfId="3" priority="4" operator="greaterThan">
      <formula>$V$1</formula>
    </cfRule>
  </conditionalFormatting>
  <conditionalFormatting sqref="V5:V54">
    <cfRule type="cellIs" dxfId="2" priority="3" operator="greaterThan">
      <formula>$V$1</formula>
    </cfRule>
  </conditionalFormatting>
  <conditionalFormatting sqref="AD5:AD54">
    <cfRule type="cellIs" dxfId="1" priority="1" operator="lessThan">
      <formula>0.1</formula>
    </cfRule>
    <cfRule type="cellIs" dxfId="0" priority="2" operator="greaterThan">
      <formula>0.1</formula>
    </cfRule>
  </conditionalFormatting>
  <pageMargins left="0.70866141732283472" right="0.70866141732283472" top="0.74803149606299213" bottom="0.74803149606299213" header="0.31496062992125984" footer="0.31496062992125984"/>
  <pageSetup paperSize="8" fitToHeight="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showGridLines="0" zoomScale="85" zoomScaleNormal="85" workbookViewId="0">
      <selection activeCell="M4" sqref="M4"/>
    </sheetView>
  </sheetViews>
  <sheetFormatPr defaultRowHeight="12.75" x14ac:dyDescent="0.2"/>
  <sheetData>
    <row r="1" spans="1:1" s="153" customFormat="1" ht="18.75" thickBot="1" x14ac:dyDescent="0.3">
      <c r="A1" s="153" t="s">
        <v>64</v>
      </c>
    </row>
  </sheetData>
  <mergeCells count="1">
    <mergeCell ref="A1:XFD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50"/>
  <sheetViews>
    <sheetView showGridLines="0"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37" sqref="D37"/>
    </sheetView>
  </sheetViews>
  <sheetFormatPr defaultRowHeight="12.75" x14ac:dyDescent="0.2"/>
  <cols>
    <col min="1" max="1" width="9.140625" style="66"/>
    <col min="2" max="2" width="9.140625" style="80"/>
    <col min="3" max="14" width="9.140625" style="74"/>
    <col min="15" max="15" width="9.140625" style="12"/>
    <col min="16" max="28" width="9.7109375" style="12" bestFit="1" customWidth="1"/>
    <col min="29" max="16384" width="9.140625" style="12"/>
  </cols>
  <sheetData>
    <row r="1" spans="1:28" s="153" customFormat="1" ht="18.75" thickBot="1" x14ac:dyDescent="0.3">
      <c r="A1" s="153" t="s">
        <v>39</v>
      </c>
    </row>
    <row r="2" spans="1:28" s="78" customFormat="1" ht="13.5" thickBot="1" x14ac:dyDescent="0.25">
      <c r="A2" s="63" t="s">
        <v>6</v>
      </c>
      <c r="B2" s="64">
        <v>10</v>
      </c>
      <c r="C2" s="65">
        <v>15</v>
      </c>
      <c r="D2" s="65">
        <v>20</v>
      </c>
      <c r="E2" s="65">
        <v>25</v>
      </c>
      <c r="F2" s="65">
        <v>32</v>
      </c>
      <c r="G2" s="65">
        <v>40</v>
      </c>
      <c r="H2" s="65">
        <v>50</v>
      </c>
      <c r="I2" s="65">
        <v>65</v>
      </c>
      <c r="J2" s="65">
        <v>80</v>
      </c>
      <c r="K2" s="65">
        <v>90</v>
      </c>
      <c r="L2" s="65">
        <v>100</v>
      </c>
      <c r="M2" s="65">
        <v>125</v>
      </c>
      <c r="N2" s="65">
        <v>150</v>
      </c>
      <c r="O2" s="77"/>
      <c r="P2" s="64">
        <v>10</v>
      </c>
      <c r="Q2" s="65">
        <v>15</v>
      </c>
      <c r="R2" s="65">
        <v>20</v>
      </c>
      <c r="S2" s="65">
        <v>25</v>
      </c>
      <c r="T2" s="65">
        <v>32</v>
      </c>
      <c r="U2" s="65">
        <v>40</v>
      </c>
      <c r="V2" s="65">
        <v>50</v>
      </c>
      <c r="W2" s="65">
        <v>65</v>
      </c>
      <c r="X2" s="65">
        <v>80</v>
      </c>
      <c r="Y2" s="65">
        <v>90</v>
      </c>
      <c r="Z2" s="65">
        <v>100</v>
      </c>
      <c r="AA2" s="65">
        <v>125</v>
      </c>
      <c r="AB2" s="65">
        <v>150</v>
      </c>
    </row>
    <row r="3" spans="1:28" x14ac:dyDescent="0.2">
      <c r="A3" s="66" t="s">
        <v>34</v>
      </c>
      <c r="B3" s="67" t="s">
        <v>35</v>
      </c>
      <c r="C3" s="68" t="s">
        <v>35</v>
      </c>
      <c r="D3" s="68" t="s">
        <v>35</v>
      </c>
      <c r="E3" s="68" t="s">
        <v>35</v>
      </c>
      <c r="F3" s="68" t="s">
        <v>35</v>
      </c>
      <c r="G3" s="68" t="s">
        <v>35</v>
      </c>
      <c r="H3" s="68" t="s">
        <v>35</v>
      </c>
      <c r="I3" s="68" t="s">
        <v>35</v>
      </c>
      <c r="J3" s="68" t="s">
        <v>35</v>
      </c>
      <c r="K3" s="68" t="s">
        <v>35</v>
      </c>
      <c r="L3" s="68" t="s">
        <v>35</v>
      </c>
      <c r="M3" s="68" t="s">
        <v>35</v>
      </c>
      <c r="N3" s="68" t="s">
        <v>35</v>
      </c>
      <c r="P3" s="67" t="s">
        <v>36</v>
      </c>
      <c r="Q3" s="68" t="s">
        <v>36</v>
      </c>
      <c r="R3" s="68" t="s">
        <v>36</v>
      </c>
      <c r="S3" s="68" t="s">
        <v>36</v>
      </c>
      <c r="T3" s="68" t="s">
        <v>36</v>
      </c>
      <c r="U3" s="68" t="s">
        <v>36</v>
      </c>
      <c r="V3" s="68" t="s">
        <v>36</v>
      </c>
      <c r="W3" s="68" t="s">
        <v>36</v>
      </c>
      <c r="X3" s="68" t="s">
        <v>36</v>
      </c>
      <c r="Y3" s="68" t="s">
        <v>36</v>
      </c>
      <c r="Z3" s="68" t="s">
        <v>36</v>
      </c>
      <c r="AA3" s="68" t="s">
        <v>36</v>
      </c>
      <c r="AB3" s="68" t="s">
        <v>36</v>
      </c>
    </row>
    <row r="4" spans="1:28" s="79" customFormat="1" ht="13.5" thickBot="1" x14ac:dyDescent="0.25">
      <c r="A4" s="69" t="s">
        <v>37</v>
      </c>
      <c r="B4" s="70" t="s">
        <v>38</v>
      </c>
      <c r="C4" s="71" t="s">
        <v>38</v>
      </c>
      <c r="D4" s="71" t="s">
        <v>38</v>
      </c>
      <c r="E4" s="71" t="s">
        <v>38</v>
      </c>
      <c r="F4" s="71" t="s">
        <v>38</v>
      </c>
      <c r="G4" s="71" t="s">
        <v>38</v>
      </c>
      <c r="H4" s="71" t="s">
        <v>38</v>
      </c>
      <c r="I4" s="71" t="s">
        <v>38</v>
      </c>
      <c r="J4" s="71" t="s">
        <v>38</v>
      </c>
      <c r="K4" s="71" t="s">
        <v>38</v>
      </c>
      <c r="L4" s="71" t="s">
        <v>38</v>
      </c>
      <c r="M4" s="71" t="s">
        <v>38</v>
      </c>
      <c r="N4" s="71" t="s">
        <v>38</v>
      </c>
      <c r="P4" s="70" t="s">
        <v>14</v>
      </c>
      <c r="Q4" s="71" t="s">
        <v>14</v>
      </c>
      <c r="R4" s="71" t="s">
        <v>14</v>
      </c>
      <c r="S4" s="71" t="s">
        <v>14</v>
      </c>
      <c r="T4" s="71" t="s">
        <v>14</v>
      </c>
      <c r="U4" s="71" t="s">
        <v>14</v>
      </c>
      <c r="V4" s="71" t="s">
        <v>14</v>
      </c>
      <c r="W4" s="71" t="s">
        <v>14</v>
      </c>
      <c r="X4" s="71" t="s">
        <v>14</v>
      </c>
      <c r="Y4" s="71" t="s">
        <v>14</v>
      </c>
      <c r="Z4" s="71" t="s">
        <v>14</v>
      </c>
      <c r="AA4" s="71" t="s">
        <v>14</v>
      </c>
      <c r="AB4" s="71" t="s">
        <v>14</v>
      </c>
    </row>
    <row r="5" spans="1:28" x14ac:dyDescent="0.2">
      <c r="A5" s="66">
        <v>0.5</v>
      </c>
      <c r="B5" s="72">
        <v>2.8E-5</v>
      </c>
      <c r="C5" s="73">
        <v>7.7999999999999999E-5</v>
      </c>
      <c r="D5" s="73">
        <v>2.5000000000000001E-4</v>
      </c>
      <c r="E5" s="73">
        <v>6.38E-4</v>
      </c>
      <c r="F5" s="73">
        <v>1.1299999999999999E-3</v>
      </c>
      <c r="G5" s="73">
        <v>1.64E-3</v>
      </c>
      <c r="H5" s="73">
        <v>3.13E-3</v>
      </c>
      <c r="I5" s="73">
        <v>6.3699999999999998E-3</v>
      </c>
      <c r="J5" s="73">
        <v>9.8799999999999999E-3</v>
      </c>
      <c r="K5" s="73">
        <v>1.46E-2</v>
      </c>
      <c r="L5" s="73">
        <v>2.0299999999999999E-2</v>
      </c>
      <c r="M5" s="73">
        <v>3.5999999999999997E-2</v>
      </c>
      <c r="N5" s="73">
        <v>5.8299999999999998E-2</v>
      </c>
      <c r="P5" s="75">
        <v>0.1</v>
      </c>
      <c r="Q5" s="76">
        <v>0.1</v>
      </c>
      <c r="R5" s="76">
        <v>0.4</v>
      </c>
      <c r="S5" s="76">
        <v>0.9</v>
      </c>
      <c r="T5" s="76">
        <v>0.9</v>
      </c>
      <c r="U5" s="76">
        <v>1</v>
      </c>
      <c r="V5" s="76">
        <v>1.4</v>
      </c>
      <c r="W5" s="76">
        <v>2.1</v>
      </c>
      <c r="X5" s="76">
        <v>2.6</v>
      </c>
      <c r="Y5" s="76">
        <v>3.2</v>
      </c>
      <c r="Z5" s="76">
        <v>3.8</v>
      </c>
      <c r="AA5" s="76">
        <v>5.0999999999999996</v>
      </c>
      <c r="AB5" s="76">
        <v>6.5</v>
      </c>
    </row>
    <row r="6" spans="1:28" x14ac:dyDescent="0.2">
      <c r="A6" s="66">
        <v>0.6</v>
      </c>
      <c r="B6" s="72">
        <v>3.3000000000000003E-5</v>
      </c>
      <c r="C6" s="74">
        <v>9.2999999999999997E-5</v>
      </c>
      <c r="D6" s="74">
        <v>2.9999999999999997E-4</v>
      </c>
      <c r="E6" s="74">
        <v>6.96E-4</v>
      </c>
      <c r="F6" s="74">
        <v>1.2199999999999999E-3</v>
      </c>
      <c r="G6" s="74">
        <v>1.82E-3</v>
      </c>
      <c r="H6" s="74">
        <v>3.47E-3</v>
      </c>
      <c r="I6" s="74">
        <v>7.0699999999999999E-3</v>
      </c>
      <c r="J6" s="74">
        <v>1.0999999999999999E-2</v>
      </c>
      <c r="K6" s="74">
        <v>1.6199999999999999E-2</v>
      </c>
      <c r="L6" s="74">
        <v>2.24E-2</v>
      </c>
      <c r="M6" s="74">
        <v>0.04</v>
      </c>
      <c r="N6" s="74">
        <v>6.4500000000000002E-2</v>
      </c>
      <c r="P6" s="75">
        <v>0.1</v>
      </c>
      <c r="Q6" s="76">
        <v>0.2</v>
      </c>
      <c r="R6" s="76">
        <v>0.4</v>
      </c>
      <c r="S6" s="76">
        <v>0.9</v>
      </c>
      <c r="T6" s="76">
        <v>0.9</v>
      </c>
      <c r="U6" s="76">
        <v>1</v>
      </c>
      <c r="V6" s="76">
        <v>1.5</v>
      </c>
      <c r="W6" s="76">
        <v>2.1</v>
      </c>
      <c r="X6" s="76">
        <v>2.7</v>
      </c>
      <c r="Y6" s="76">
        <v>3.2</v>
      </c>
      <c r="Z6" s="76">
        <v>3.8</v>
      </c>
      <c r="AA6" s="76">
        <v>5.2</v>
      </c>
      <c r="AB6" s="76">
        <v>6.6</v>
      </c>
    </row>
    <row r="7" spans="1:28" x14ac:dyDescent="0.2">
      <c r="A7" s="66">
        <v>0.7</v>
      </c>
      <c r="B7" s="72">
        <v>3.8000000000000002E-5</v>
      </c>
      <c r="C7" s="74">
        <v>1.08E-4</v>
      </c>
      <c r="D7" s="74">
        <v>3.5E-4</v>
      </c>
      <c r="E7" s="74">
        <v>7.2499999999999995E-4</v>
      </c>
      <c r="F7" s="74">
        <v>1.31E-3</v>
      </c>
      <c r="G7" s="74">
        <v>1.99E-3</v>
      </c>
      <c r="H7" s="74">
        <v>3.8E-3</v>
      </c>
      <c r="I7" s="74">
        <v>7.7200000000000003E-3</v>
      </c>
      <c r="J7" s="74">
        <v>1.2E-2</v>
      </c>
      <c r="K7" s="74">
        <v>1.77E-2</v>
      </c>
      <c r="L7" s="74">
        <v>2.4500000000000001E-2</v>
      </c>
      <c r="M7" s="74">
        <v>4.3400000000000001E-2</v>
      </c>
      <c r="N7" s="74">
        <v>7.0300000000000001E-2</v>
      </c>
      <c r="P7" s="75">
        <v>0.1</v>
      </c>
      <c r="Q7" s="76">
        <v>0.2</v>
      </c>
      <c r="R7" s="76">
        <v>0.5</v>
      </c>
      <c r="S7" s="76">
        <v>0.9</v>
      </c>
      <c r="T7" s="76">
        <v>0.9</v>
      </c>
      <c r="U7" s="76">
        <v>1.1000000000000001</v>
      </c>
      <c r="V7" s="76">
        <v>1.5</v>
      </c>
      <c r="W7" s="76">
        <v>2.2000000000000002</v>
      </c>
      <c r="X7" s="76">
        <v>2.7</v>
      </c>
      <c r="Y7" s="76">
        <v>3.3</v>
      </c>
      <c r="Z7" s="76">
        <v>3.9</v>
      </c>
      <c r="AA7" s="76">
        <v>5.3</v>
      </c>
      <c r="AB7" s="76">
        <v>6.7</v>
      </c>
    </row>
    <row r="8" spans="1:28" x14ac:dyDescent="0.2">
      <c r="A8" s="66">
        <v>0.8</v>
      </c>
      <c r="B8" s="72">
        <v>4.3999999999999999E-5</v>
      </c>
      <c r="C8" s="74">
        <v>1.2400000000000001E-4</v>
      </c>
      <c r="D8" s="74">
        <v>4.0000000000000002E-4</v>
      </c>
      <c r="E8" s="74">
        <v>7.5500000000000003E-4</v>
      </c>
      <c r="F8" s="74">
        <v>1.41E-3</v>
      </c>
      <c r="G8" s="74">
        <v>2.15E-3</v>
      </c>
      <c r="H8" s="74">
        <v>4.1000000000000003E-3</v>
      </c>
      <c r="I8" s="74">
        <v>8.3300000000000006E-3</v>
      </c>
      <c r="J8" s="74">
        <v>1.29E-2</v>
      </c>
      <c r="K8" s="74">
        <v>1.9E-2</v>
      </c>
      <c r="L8" s="74">
        <v>2.64E-2</v>
      </c>
      <c r="M8" s="74">
        <v>4.6800000000000001E-2</v>
      </c>
      <c r="N8" s="74">
        <v>7.5700000000000003E-2</v>
      </c>
      <c r="P8" s="75">
        <v>0.1</v>
      </c>
      <c r="Q8" s="76">
        <v>0.2</v>
      </c>
      <c r="R8" s="76">
        <v>0.6</v>
      </c>
      <c r="S8" s="76">
        <v>0.9</v>
      </c>
      <c r="T8" s="76">
        <v>0.9</v>
      </c>
      <c r="U8" s="76">
        <v>1.1000000000000001</v>
      </c>
      <c r="V8" s="76">
        <v>1.5</v>
      </c>
      <c r="W8" s="76">
        <v>2.2000000000000002</v>
      </c>
      <c r="X8" s="76">
        <v>2.8</v>
      </c>
      <c r="Y8" s="76">
        <v>3.4</v>
      </c>
      <c r="Z8" s="76">
        <v>4</v>
      </c>
      <c r="AA8" s="76">
        <v>5.3</v>
      </c>
      <c r="AB8" s="76">
        <v>6.8</v>
      </c>
    </row>
    <row r="9" spans="1:28" x14ac:dyDescent="0.2">
      <c r="A9" s="66">
        <v>0.9</v>
      </c>
      <c r="B9" s="72">
        <v>4.8999999999999998E-5</v>
      </c>
      <c r="C9" s="74">
        <v>1.3899999999999999E-4</v>
      </c>
      <c r="D9" s="74">
        <v>4.4999999999999999E-4</v>
      </c>
      <c r="E9" s="74">
        <v>7.8399999999999997E-4</v>
      </c>
      <c r="F9" s="74">
        <v>1.5100000000000001E-3</v>
      </c>
      <c r="G9" s="74">
        <v>2.3E-3</v>
      </c>
      <c r="H9" s="74">
        <v>4.3899999999999998E-3</v>
      </c>
      <c r="I9" s="74">
        <v>8.8999999999999999E-3</v>
      </c>
      <c r="J9" s="74">
        <v>1.38E-2</v>
      </c>
      <c r="K9" s="74">
        <v>2.0299999999999999E-2</v>
      </c>
      <c r="L9" s="74">
        <v>2.8199999999999999E-2</v>
      </c>
      <c r="M9" s="74">
        <v>0.05</v>
      </c>
      <c r="N9" s="74">
        <v>8.0799999999999997E-2</v>
      </c>
      <c r="P9" s="75">
        <v>0.1</v>
      </c>
      <c r="Q9" s="76">
        <v>0.2</v>
      </c>
      <c r="R9" s="76">
        <v>0.6</v>
      </c>
      <c r="S9" s="76">
        <v>0.9</v>
      </c>
      <c r="T9" s="76">
        <v>0.9</v>
      </c>
      <c r="U9" s="76">
        <v>1.1000000000000001</v>
      </c>
      <c r="V9" s="76">
        <v>1.5</v>
      </c>
      <c r="W9" s="76">
        <v>2.2000000000000002</v>
      </c>
      <c r="X9" s="76">
        <v>2.8</v>
      </c>
      <c r="Y9" s="76">
        <v>3.4</v>
      </c>
      <c r="Z9" s="76">
        <v>4</v>
      </c>
      <c r="AA9" s="76">
        <v>5.4</v>
      </c>
      <c r="AB9" s="76">
        <v>6.9</v>
      </c>
    </row>
    <row r="10" spans="1:28" x14ac:dyDescent="0.2">
      <c r="A10" s="66">
        <v>1</v>
      </c>
      <c r="B10" s="72">
        <v>5.5000000000000002E-5</v>
      </c>
      <c r="C10" s="74">
        <v>1.55E-4</v>
      </c>
      <c r="D10" s="74">
        <v>5.0000000000000001E-4</v>
      </c>
      <c r="E10" s="74">
        <v>8.1400000000000005E-4</v>
      </c>
      <c r="F10" s="74">
        <v>1.6100000000000001E-3</v>
      </c>
      <c r="G10" s="74">
        <v>2.4499999999999999E-3</v>
      </c>
      <c r="H10" s="74">
        <v>4.6600000000000001E-3</v>
      </c>
      <c r="I10" s="74">
        <v>9.4500000000000001E-3</v>
      </c>
      <c r="J10" s="74">
        <v>1.46E-2</v>
      </c>
      <c r="K10" s="74">
        <v>2.1600000000000001E-2</v>
      </c>
      <c r="L10" s="74">
        <v>2.9899999999999999E-2</v>
      </c>
      <c r="M10" s="74">
        <v>5.2999999999999999E-2</v>
      </c>
      <c r="N10" s="74">
        <v>8.5699999999999998E-2</v>
      </c>
      <c r="P10" s="75">
        <v>0.1</v>
      </c>
      <c r="Q10" s="76">
        <v>0.2</v>
      </c>
      <c r="R10" s="76">
        <v>0.7</v>
      </c>
      <c r="S10" s="76">
        <v>0.9</v>
      </c>
      <c r="T10" s="76">
        <v>0.9</v>
      </c>
      <c r="U10" s="76">
        <v>1.1000000000000001</v>
      </c>
      <c r="V10" s="76">
        <v>1.6</v>
      </c>
      <c r="W10" s="76">
        <v>2.2999999999999998</v>
      </c>
      <c r="X10" s="76">
        <v>2.8</v>
      </c>
      <c r="Y10" s="76">
        <v>3.5</v>
      </c>
      <c r="Z10" s="76">
        <v>4.0999999999999996</v>
      </c>
      <c r="AA10" s="76">
        <v>5.5</v>
      </c>
      <c r="AB10" s="76">
        <v>7</v>
      </c>
    </row>
    <row r="11" spans="1:28" x14ac:dyDescent="0.2">
      <c r="A11" s="66">
        <v>1.5</v>
      </c>
      <c r="B11" s="72">
        <v>8.2000000000000001E-5</v>
      </c>
      <c r="C11" s="74">
        <v>2.32E-4</v>
      </c>
      <c r="D11" s="74">
        <v>5.8299999999999997E-4</v>
      </c>
      <c r="E11" s="74">
        <v>9.6100000000000005E-4</v>
      </c>
      <c r="F11" s="74">
        <v>2.0400000000000001E-3</v>
      </c>
      <c r="G11" s="74">
        <v>3.0899999999999999E-3</v>
      </c>
      <c r="H11" s="74">
        <v>5.8700000000000002E-3</v>
      </c>
      <c r="I11" s="74">
        <v>1.1900000000000001E-2</v>
      </c>
      <c r="J11" s="74">
        <v>1.84E-2</v>
      </c>
      <c r="K11" s="74">
        <v>2.7099999999999999E-2</v>
      </c>
      <c r="L11" s="74">
        <v>3.7499999999999999E-2</v>
      </c>
      <c r="M11" s="74">
        <v>6.6299999999999998E-2</v>
      </c>
      <c r="N11" s="74">
        <v>0.107</v>
      </c>
      <c r="P11" s="75">
        <v>0.2</v>
      </c>
      <c r="Q11" s="76">
        <v>0.3</v>
      </c>
      <c r="R11" s="76">
        <v>0.6</v>
      </c>
      <c r="S11" s="76">
        <v>1</v>
      </c>
      <c r="T11" s="76">
        <v>1</v>
      </c>
      <c r="U11" s="76">
        <v>1.2</v>
      </c>
      <c r="V11" s="76">
        <v>1.7</v>
      </c>
      <c r="W11" s="76">
        <v>2.4</v>
      </c>
      <c r="X11" s="76">
        <v>3</v>
      </c>
      <c r="Y11" s="76">
        <v>3.6</v>
      </c>
      <c r="Z11" s="76">
        <v>4.3</v>
      </c>
      <c r="AA11" s="76">
        <v>5.7</v>
      </c>
      <c r="AB11" s="76">
        <v>7.3</v>
      </c>
    </row>
    <row r="12" spans="1:28" x14ac:dyDescent="0.2">
      <c r="A12" s="66">
        <v>2</v>
      </c>
      <c r="B12" s="72">
        <v>1.0900000000000001E-4</v>
      </c>
      <c r="C12" s="74">
        <v>3.0899999999999998E-4</v>
      </c>
      <c r="D12" s="74">
        <v>6.4000000000000005E-4</v>
      </c>
      <c r="E12" s="74">
        <v>1.1199999999999999E-3</v>
      </c>
      <c r="F12" s="74">
        <v>2.3999999999999998E-3</v>
      </c>
      <c r="G12" s="74">
        <v>3.64E-3</v>
      </c>
      <c r="H12" s="74">
        <v>6.9100000000000003E-3</v>
      </c>
      <c r="I12" s="74">
        <v>1.4E-2</v>
      </c>
      <c r="J12" s="74">
        <v>2.1600000000000001E-2</v>
      </c>
      <c r="K12" s="74">
        <v>3.1800000000000002E-2</v>
      </c>
      <c r="L12" s="74">
        <v>4.3999999999999997E-2</v>
      </c>
      <c r="M12" s="74">
        <v>7.7799999999999994E-2</v>
      </c>
      <c r="N12" s="74">
        <v>0.126</v>
      </c>
      <c r="P12" s="75">
        <v>0.2</v>
      </c>
      <c r="Q12" s="76">
        <v>0.4</v>
      </c>
      <c r="R12" s="76">
        <v>0.6</v>
      </c>
      <c r="S12" s="76">
        <v>1</v>
      </c>
      <c r="T12" s="76">
        <v>1</v>
      </c>
      <c r="U12" s="76">
        <v>1.2</v>
      </c>
      <c r="V12" s="76">
        <v>1.7</v>
      </c>
      <c r="W12" s="76">
        <v>2.5</v>
      </c>
      <c r="X12" s="76">
        <v>3.1</v>
      </c>
      <c r="Y12" s="76">
        <v>3.7</v>
      </c>
      <c r="Z12" s="76">
        <v>4.4000000000000004</v>
      </c>
      <c r="AA12" s="76">
        <v>5.9</v>
      </c>
      <c r="AB12" s="76">
        <v>7.5</v>
      </c>
    </row>
    <row r="13" spans="1:28" x14ac:dyDescent="0.2">
      <c r="A13" s="66">
        <v>2.5</v>
      </c>
      <c r="B13" s="72">
        <v>1.36E-4</v>
      </c>
      <c r="C13" s="74">
        <v>3.86E-4</v>
      </c>
      <c r="D13" s="74">
        <v>6.9700000000000003E-4</v>
      </c>
      <c r="E13" s="74">
        <v>1.2800000000000001E-3</v>
      </c>
      <c r="F13" s="74">
        <v>2.7299999999999998E-3</v>
      </c>
      <c r="G13" s="74">
        <v>4.13E-3</v>
      </c>
      <c r="H13" s="74">
        <v>7.8399999999999997E-3</v>
      </c>
      <c r="I13" s="74">
        <v>1.5800000000000002E-2</v>
      </c>
      <c r="J13" s="74">
        <v>2.4500000000000001E-2</v>
      </c>
      <c r="K13" s="74">
        <v>3.5999999999999997E-2</v>
      </c>
      <c r="L13" s="74">
        <v>4.9799999999999997E-2</v>
      </c>
      <c r="M13" s="74">
        <v>8.7900000000000006E-2</v>
      </c>
      <c r="N13" s="74">
        <v>0.14199999999999999</v>
      </c>
      <c r="P13" s="75">
        <v>0.2</v>
      </c>
      <c r="Q13" s="76">
        <v>0.5</v>
      </c>
      <c r="R13" s="76">
        <v>0.5</v>
      </c>
      <c r="S13" s="76">
        <v>1</v>
      </c>
      <c r="T13" s="76">
        <v>1</v>
      </c>
      <c r="U13" s="76">
        <v>1.3</v>
      </c>
      <c r="V13" s="76">
        <v>1.8</v>
      </c>
      <c r="W13" s="76">
        <v>2.5</v>
      </c>
      <c r="X13" s="76">
        <v>3.2</v>
      </c>
      <c r="Y13" s="76">
        <v>3.8</v>
      </c>
      <c r="Z13" s="76">
        <v>4.5</v>
      </c>
      <c r="AA13" s="76">
        <v>6</v>
      </c>
      <c r="AB13" s="76">
        <v>7.7</v>
      </c>
    </row>
    <row r="14" spans="1:28" x14ac:dyDescent="0.2">
      <c r="A14" s="66">
        <v>3</v>
      </c>
      <c r="B14" s="72">
        <v>1.63E-4</v>
      </c>
      <c r="C14" s="74">
        <v>4.1300000000000001E-4</v>
      </c>
      <c r="D14" s="74">
        <v>7.54E-4</v>
      </c>
      <c r="E14" s="74">
        <v>1.42E-3</v>
      </c>
      <c r="F14" s="74">
        <v>3.0300000000000001E-3</v>
      </c>
      <c r="G14" s="74">
        <v>4.5799999999999999E-3</v>
      </c>
      <c r="H14" s="74">
        <v>8.6899999999999998E-3</v>
      </c>
      <c r="I14" s="74">
        <v>1.7500000000000002E-2</v>
      </c>
      <c r="J14" s="74">
        <v>2.7099999999999999E-2</v>
      </c>
      <c r="K14" s="74">
        <v>3.9800000000000002E-2</v>
      </c>
      <c r="L14" s="74">
        <v>5.5E-2</v>
      </c>
      <c r="M14" s="74">
        <v>9.7199999999999995E-2</v>
      </c>
      <c r="N14" s="74">
        <v>0.157</v>
      </c>
      <c r="P14" s="75">
        <v>0.3</v>
      </c>
      <c r="Q14" s="76">
        <v>0.5</v>
      </c>
      <c r="R14" s="76">
        <v>0.5</v>
      </c>
      <c r="S14" s="76">
        <v>1.1000000000000001</v>
      </c>
      <c r="T14" s="76">
        <v>1.1000000000000001</v>
      </c>
      <c r="U14" s="76">
        <v>1.3</v>
      </c>
      <c r="V14" s="76">
        <v>1.8</v>
      </c>
      <c r="W14" s="76">
        <v>2.6</v>
      </c>
      <c r="X14" s="76">
        <v>3.2</v>
      </c>
      <c r="Y14" s="76">
        <v>3.9</v>
      </c>
      <c r="Z14" s="76">
        <v>4.5999999999999996</v>
      </c>
      <c r="AA14" s="76">
        <v>6.1</v>
      </c>
      <c r="AB14" s="76">
        <v>7.8</v>
      </c>
    </row>
    <row r="15" spans="1:28" x14ac:dyDescent="0.2">
      <c r="A15" s="66">
        <v>3.5</v>
      </c>
      <c r="B15" s="72">
        <v>1.9000000000000001E-4</v>
      </c>
      <c r="C15" s="74">
        <v>4.2999999999999999E-4</v>
      </c>
      <c r="D15" s="74">
        <v>8.1300000000000003E-4</v>
      </c>
      <c r="E15" s="74">
        <v>1.5499999999999999E-3</v>
      </c>
      <c r="F15" s="74">
        <v>3.31E-3</v>
      </c>
      <c r="G15" s="74">
        <v>5.0000000000000001E-3</v>
      </c>
      <c r="H15" s="74">
        <v>9.4699999999999993E-3</v>
      </c>
      <c r="I15" s="74">
        <v>1.9099999999999999E-2</v>
      </c>
      <c r="J15" s="74">
        <v>2.9499999999999998E-2</v>
      </c>
      <c r="K15" s="74">
        <v>4.3299999999999998E-2</v>
      </c>
      <c r="L15" s="74">
        <v>5.9900000000000002E-2</v>
      </c>
      <c r="M15" s="74">
        <v>0.106</v>
      </c>
      <c r="N15" s="74">
        <v>0.17</v>
      </c>
      <c r="P15" s="75">
        <v>0.3</v>
      </c>
      <c r="Q15" s="76">
        <v>0.5</v>
      </c>
      <c r="R15" s="76">
        <v>0.5</v>
      </c>
      <c r="S15" s="76">
        <v>1.1000000000000001</v>
      </c>
      <c r="T15" s="76">
        <v>1.1000000000000001</v>
      </c>
      <c r="U15" s="76">
        <v>1.3</v>
      </c>
      <c r="V15" s="76">
        <v>1.8</v>
      </c>
      <c r="W15" s="76">
        <v>2.6</v>
      </c>
      <c r="X15" s="76">
        <v>3.3</v>
      </c>
      <c r="Y15" s="76">
        <v>4</v>
      </c>
      <c r="Z15" s="76">
        <v>4.7</v>
      </c>
      <c r="AA15" s="76">
        <v>6.2</v>
      </c>
      <c r="AB15" s="76">
        <v>7.9</v>
      </c>
    </row>
    <row r="16" spans="1:28" x14ac:dyDescent="0.2">
      <c r="A16" s="66">
        <v>4</v>
      </c>
      <c r="B16" s="72">
        <v>2.1699999999999999E-4</v>
      </c>
      <c r="C16" s="74">
        <v>4.4700000000000002E-4</v>
      </c>
      <c r="D16" s="74">
        <v>8.7799999999999998E-4</v>
      </c>
      <c r="E16" s="74">
        <v>1.67E-3</v>
      </c>
      <c r="F16" s="74">
        <v>3.5699999999999998E-3</v>
      </c>
      <c r="G16" s="74">
        <v>5.3899999999999998E-3</v>
      </c>
      <c r="H16" s="74">
        <v>1.0200000000000001E-2</v>
      </c>
      <c r="I16" s="74">
        <v>2.06E-2</v>
      </c>
      <c r="J16" s="74">
        <v>3.1699999999999999E-2</v>
      </c>
      <c r="K16" s="74">
        <v>4.6600000000000003E-2</v>
      </c>
      <c r="L16" s="74">
        <v>6.4500000000000002E-2</v>
      </c>
      <c r="M16" s="74">
        <v>0.114</v>
      </c>
      <c r="N16" s="74">
        <v>0.183</v>
      </c>
      <c r="P16" s="75">
        <v>0.3</v>
      </c>
      <c r="Q16" s="76">
        <v>0.5</v>
      </c>
      <c r="R16" s="76">
        <v>0.5</v>
      </c>
      <c r="S16" s="76">
        <v>1.1000000000000001</v>
      </c>
      <c r="T16" s="76">
        <v>1.1000000000000001</v>
      </c>
      <c r="U16" s="76">
        <v>1.4</v>
      </c>
      <c r="V16" s="76">
        <v>1.9</v>
      </c>
      <c r="W16" s="76">
        <v>2.7</v>
      </c>
      <c r="X16" s="76">
        <v>3.3</v>
      </c>
      <c r="Y16" s="76">
        <v>4</v>
      </c>
      <c r="Z16" s="76">
        <v>4.7</v>
      </c>
      <c r="AA16" s="76">
        <v>6.3</v>
      </c>
      <c r="AB16" s="76">
        <v>8</v>
      </c>
    </row>
    <row r="17" spans="1:28" x14ac:dyDescent="0.2">
      <c r="A17" s="66">
        <v>4.5</v>
      </c>
      <c r="B17" s="72">
        <v>2.4499999999999999E-4</v>
      </c>
      <c r="C17" s="74">
        <v>4.6500000000000003E-4</v>
      </c>
      <c r="D17" s="74">
        <v>9.3999999999999997E-4</v>
      </c>
      <c r="E17" s="74">
        <v>1.7899999999999999E-3</v>
      </c>
      <c r="F17" s="74">
        <v>3.81E-3</v>
      </c>
      <c r="G17" s="74">
        <v>5.7600000000000004E-3</v>
      </c>
      <c r="H17" s="74">
        <v>1.09E-2</v>
      </c>
      <c r="I17" s="74">
        <v>2.1999999999999999E-2</v>
      </c>
      <c r="J17" s="74">
        <v>3.39E-2</v>
      </c>
      <c r="K17" s="74">
        <v>4.9799999999999997E-2</v>
      </c>
      <c r="L17" s="74">
        <v>6.88E-2</v>
      </c>
      <c r="M17" s="74">
        <v>0.121</v>
      </c>
      <c r="N17" s="74">
        <v>0.19500000000000001</v>
      </c>
      <c r="P17" s="75">
        <v>0.4</v>
      </c>
      <c r="Q17" s="76">
        <v>0.4</v>
      </c>
      <c r="R17" s="76">
        <v>0.5</v>
      </c>
      <c r="S17" s="76">
        <v>1.1000000000000001</v>
      </c>
      <c r="T17" s="76">
        <v>1.1000000000000001</v>
      </c>
      <c r="U17" s="76">
        <v>1.4</v>
      </c>
      <c r="V17" s="76">
        <v>1.9</v>
      </c>
      <c r="W17" s="76">
        <v>2.7</v>
      </c>
      <c r="X17" s="76">
        <v>3.4</v>
      </c>
      <c r="Y17" s="76">
        <v>4.0999999999999996</v>
      </c>
      <c r="Z17" s="76">
        <v>4.8</v>
      </c>
      <c r="AA17" s="76">
        <v>6.4</v>
      </c>
      <c r="AB17" s="76">
        <v>8.1</v>
      </c>
    </row>
    <row r="18" spans="1:28" x14ac:dyDescent="0.2">
      <c r="A18" s="66">
        <v>5</v>
      </c>
      <c r="B18" s="72">
        <v>2.72E-4</v>
      </c>
      <c r="C18" s="74">
        <v>4.8200000000000001E-4</v>
      </c>
      <c r="D18" s="74">
        <v>9.990000000000001E-4</v>
      </c>
      <c r="E18" s="74">
        <v>1.9E-3</v>
      </c>
      <c r="F18" s="74">
        <v>4.0499999999999998E-3</v>
      </c>
      <c r="G18" s="74">
        <v>6.1199999999999996E-3</v>
      </c>
      <c r="H18" s="74">
        <v>1.1599999999999999E-2</v>
      </c>
      <c r="I18" s="74">
        <v>2.3300000000000001E-2</v>
      </c>
      <c r="J18" s="74">
        <v>3.5900000000000001E-2</v>
      </c>
      <c r="K18" s="74">
        <v>5.7200000000000001E-2</v>
      </c>
      <c r="L18" s="74">
        <v>7.2800000000000004E-2</v>
      </c>
      <c r="M18" s="74">
        <v>0.128</v>
      </c>
      <c r="N18" s="74">
        <v>0.20699999999999999</v>
      </c>
      <c r="P18" s="75">
        <v>0.4</v>
      </c>
      <c r="Q18" s="76">
        <v>0.4</v>
      </c>
      <c r="R18" s="76">
        <v>0.6</v>
      </c>
      <c r="S18" s="76">
        <v>1.1000000000000001</v>
      </c>
      <c r="T18" s="76">
        <v>1.1000000000000001</v>
      </c>
      <c r="U18" s="76">
        <v>1.4</v>
      </c>
      <c r="V18" s="76">
        <v>1.9</v>
      </c>
      <c r="W18" s="76">
        <v>2.7</v>
      </c>
      <c r="X18" s="76">
        <v>3.4</v>
      </c>
      <c r="Y18" s="76">
        <v>4.0999999999999996</v>
      </c>
      <c r="Z18" s="76">
        <v>4.8</v>
      </c>
      <c r="AA18" s="76">
        <v>6.4</v>
      </c>
      <c r="AB18" s="76">
        <v>8.1</v>
      </c>
    </row>
    <row r="19" spans="1:28" x14ac:dyDescent="0.2">
      <c r="A19" s="66">
        <v>5.5</v>
      </c>
      <c r="B19" s="72">
        <v>2.99E-4</v>
      </c>
      <c r="C19" s="74">
        <v>4.9899999999999999E-4</v>
      </c>
      <c r="D19" s="74">
        <v>1.06E-3</v>
      </c>
      <c r="E19" s="74">
        <v>2.0100000000000001E-3</v>
      </c>
      <c r="F19" s="74">
        <v>4.2700000000000004E-3</v>
      </c>
      <c r="G19" s="74">
        <v>6.45E-3</v>
      </c>
      <c r="H19" s="74">
        <v>1.2200000000000001E-2</v>
      </c>
      <c r="I19" s="74">
        <v>2.4500000000000001E-2</v>
      </c>
      <c r="J19" s="74">
        <v>3.78E-2</v>
      </c>
      <c r="K19" s="74">
        <v>5.5500000000000001E-2</v>
      </c>
      <c r="L19" s="74">
        <v>7.6700000000000004E-2</v>
      </c>
      <c r="M19" s="74">
        <v>0.13500000000000001</v>
      </c>
      <c r="N19" s="74">
        <v>0.218</v>
      </c>
      <c r="P19" s="75">
        <v>0.4</v>
      </c>
      <c r="Q19" s="76">
        <v>0.4</v>
      </c>
      <c r="R19" s="76">
        <v>0.6</v>
      </c>
      <c r="S19" s="76">
        <v>1.1000000000000001</v>
      </c>
      <c r="T19" s="76">
        <v>1.1000000000000001</v>
      </c>
      <c r="U19" s="76">
        <v>1.4</v>
      </c>
      <c r="V19" s="76">
        <v>1.9</v>
      </c>
      <c r="W19" s="76">
        <v>2.8</v>
      </c>
      <c r="X19" s="76">
        <v>3.4</v>
      </c>
      <c r="Y19" s="76">
        <v>4.2</v>
      </c>
      <c r="Z19" s="76">
        <v>4.9000000000000004</v>
      </c>
      <c r="AA19" s="76">
        <v>6.5</v>
      </c>
      <c r="AB19" s="76">
        <v>8.1999999999999993</v>
      </c>
    </row>
    <row r="20" spans="1:28" x14ac:dyDescent="0.2">
      <c r="A20" s="66">
        <v>6</v>
      </c>
      <c r="B20" s="72">
        <v>3.1100000000000002E-4</v>
      </c>
      <c r="C20" s="74">
        <v>5.1599999999999997E-4</v>
      </c>
      <c r="D20" s="74">
        <v>1.1100000000000001E-3</v>
      </c>
      <c r="E20" s="74">
        <v>2.1099999999999999E-3</v>
      </c>
      <c r="F20" s="74">
        <v>4.4900000000000001E-3</v>
      </c>
      <c r="G20" s="74">
        <v>6.77E-3</v>
      </c>
      <c r="H20" s="74">
        <v>1.2800000000000001E-2</v>
      </c>
      <c r="I20" s="74">
        <v>2.5700000000000001E-2</v>
      </c>
      <c r="J20" s="74">
        <v>3.9699999999999999E-2</v>
      </c>
      <c r="K20" s="74">
        <v>5.8299999999999998E-2</v>
      </c>
      <c r="L20" s="74">
        <v>8.0399999999999999E-2</v>
      </c>
      <c r="M20" s="74">
        <v>0.14199999999999999</v>
      </c>
      <c r="N20" s="74">
        <v>0.22800000000000001</v>
      </c>
      <c r="P20" s="75">
        <v>0.4</v>
      </c>
      <c r="Q20" s="76">
        <v>0.4</v>
      </c>
      <c r="R20" s="76">
        <v>0.6</v>
      </c>
      <c r="S20" s="76">
        <v>1.2</v>
      </c>
      <c r="T20" s="76">
        <v>1.2</v>
      </c>
      <c r="U20" s="76">
        <v>1.4</v>
      </c>
      <c r="V20" s="76">
        <v>2</v>
      </c>
      <c r="W20" s="76">
        <v>2.8</v>
      </c>
      <c r="X20" s="76">
        <v>3.5</v>
      </c>
      <c r="Y20" s="76">
        <v>4.2</v>
      </c>
      <c r="Z20" s="76">
        <v>4.9000000000000004</v>
      </c>
      <c r="AA20" s="76">
        <v>6.5</v>
      </c>
      <c r="AB20" s="76">
        <v>8.1999999999999993</v>
      </c>
    </row>
    <row r="21" spans="1:28" x14ac:dyDescent="0.2">
      <c r="A21" s="66">
        <v>6.5</v>
      </c>
      <c r="B21" s="72">
        <v>3.1700000000000001E-4</v>
      </c>
      <c r="C21" s="74">
        <v>5.3399999999999997E-4</v>
      </c>
      <c r="D21" s="74">
        <v>1.16E-3</v>
      </c>
      <c r="E21" s="74">
        <v>2.2100000000000002E-3</v>
      </c>
      <c r="F21" s="74">
        <v>4.6899999999999997E-3</v>
      </c>
      <c r="G21" s="74">
        <v>7.0800000000000004E-3</v>
      </c>
      <c r="H21" s="74">
        <v>1.34E-2</v>
      </c>
      <c r="I21" s="74">
        <v>2.69E-2</v>
      </c>
      <c r="J21" s="74">
        <v>4.1399999999999999E-2</v>
      </c>
      <c r="K21" s="74">
        <v>6.0900000000000003E-2</v>
      </c>
      <c r="L21" s="74">
        <v>8.4000000000000005E-2</v>
      </c>
      <c r="M21" s="74">
        <v>0.14799999999999999</v>
      </c>
      <c r="N21" s="74">
        <v>0.23799999999999999</v>
      </c>
      <c r="P21" s="75">
        <v>0.4</v>
      </c>
      <c r="Q21" s="76">
        <v>0.4</v>
      </c>
      <c r="R21" s="76">
        <v>0.6</v>
      </c>
      <c r="S21" s="76">
        <v>1.2</v>
      </c>
      <c r="T21" s="76">
        <v>1.2</v>
      </c>
      <c r="U21" s="76">
        <v>1.4</v>
      </c>
      <c r="V21" s="76">
        <v>2</v>
      </c>
      <c r="W21" s="76">
        <v>2.8</v>
      </c>
      <c r="X21" s="76">
        <v>3.5</v>
      </c>
      <c r="Y21" s="76">
        <v>4.2</v>
      </c>
      <c r="Z21" s="76">
        <v>5</v>
      </c>
      <c r="AA21" s="76">
        <v>6.6</v>
      </c>
      <c r="AB21" s="76">
        <v>8.3000000000000007</v>
      </c>
    </row>
    <row r="22" spans="1:28" x14ac:dyDescent="0.2">
      <c r="A22" s="66">
        <v>7</v>
      </c>
      <c r="B22" s="72">
        <v>3.2299999999999999E-4</v>
      </c>
      <c r="C22" s="74">
        <v>5.5099999999999995E-4</v>
      </c>
      <c r="D22" s="74">
        <v>1.2099999999999999E-3</v>
      </c>
      <c r="E22" s="74">
        <v>2.3E-3</v>
      </c>
      <c r="F22" s="74">
        <v>4.8900000000000002E-3</v>
      </c>
      <c r="G22" s="74">
        <v>7.3800000000000003E-3</v>
      </c>
      <c r="H22" s="74">
        <v>1.3899999999999999E-2</v>
      </c>
      <c r="I22" s="74">
        <v>2.8000000000000001E-2</v>
      </c>
      <c r="J22" s="74">
        <v>4.3200000000000002E-2</v>
      </c>
      <c r="K22" s="74">
        <v>6.3399999999999998E-2</v>
      </c>
      <c r="L22" s="74">
        <v>8.7499999999999994E-2</v>
      </c>
      <c r="M22" s="74">
        <v>0.154</v>
      </c>
      <c r="N22" s="74">
        <v>0.248</v>
      </c>
      <c r="P22" s="75">
        <v>0.4</v>
      </c>
      <c r="Q22" s="76">
        <v>0.4</v>
      </c>
      <c r="R22" s="76">
        <v>0.6</v>
      </c>
      <c r="S22" s="76">
        <v>1.2</v>
      </c>
      <c r="T22" s="76">
        <v>1.2</v>
      </c>
      <c r="U22" s="76">
        <v>1.4</v>
      </c>
      <c r="V22" s="76">
        <v>2</v>
      </c>
      <c r="W22" s="76">
        <v>2.8</v>
      </c>
      <c r="X22" s="76">
        <v>3.5</v>
      </c>
      <c r="Y22" s="76">
        <v>4.2</v>
      </c>
      <c r="Z22" s="76">
        <v>5</v>
      </c>
      <c r="AA22" s="76">
        <v>6.6</v>
      </c>
      <c r="AB22" s="76">
        <v>8.3000000000000007</v>
      </c>
    </row>
    <row r="23" spans="1:28" x14ac:dyDescent="0.2">
      <c r="A23" s="66">
        <v>7.5</v>
      </c>
      <c r="B23" s="72">
        <v>3.2899999999999997E-4</v>
      </c>
      <c r="C23" s="74">
        <v>5.6800000000000004E-4</v>
      </c>
      <c r="D23" s="74">
        <v>1.2600000000000001E-3</v>
      </c>
      <c r="E23" s="74">
        <v>2.3900000000000002E-3</v>
      </c>
      <c r="F23" s="74">
        <v>5.0800000000000003E-3</v>
      </c>
      <c r="G23" s="74">
        <v>7.6699999999999997E-3</v>
      </c>
      <c r="H23" s="74">
        <v>1.4500000000000001E-2</v>
      </c>
      <c r="I23" s="74">
        <v>2.9100000000000001E-2</v>
      </c>
      <c r="J23" s="74">
        <v>4.48E-2</v>
      </c>
      <c r="K23" s="74">
        <v>6.5799999999999997E-2</v>
      </c>
      <c r="L23" s="74">
        <v>9.0800000000000006E-2</v>
      </c>
      <c r="M23" s="74">
        <v>0.16</v>
      </c>
      <c r="N23" s="74">
        <v>0.25700000000000001</v>
      </c>
      <c r="P23" s="75">
        <v>0.4</v>
      </c>
      <c r="Q23" s="76">
        <v>0.4</v>
      </c>
      <c r="R23" s="76">
        <v>0.6</v>
      </c>
      <c r="S23" s="76">
        <v>1.2</v>
      </c>
      <c r="T23" s="76">
        <v>1.2</v>
      </c>
      <c r="U23" s="76">
        <v>1.5</v>
      </c>
      <c r="V23" s="76">
        <v>2</v>
      </c>
      <c r="W23" s="76">
        <v>2.8</v>
      </c>
      <c r="X23" s="76">
        <v>3.5</v>
      </c>
      <c r="Y23" s="76">
        <v>4.3</v>
      </c>
      <c r="Z23" s="76">
        <v>5</v>
      </c>
      <c r="AA23" s="76">
        <v>6.6</v>
      </c>
      <c r="AB23" s="76">
        <v>8.4</v>
      </c>
    </row>
    <row r="24" spans="1:28" x14ac:dyDescent="0.2">
      <c r="A24" s="66">
        <v>8</v>
      </c>
      <c r="B24" s="72">
        <v>3.3500000000000001E-4</v>
      </c>
      <c r="C24" s="74">
        <v>5.8500000000000002E-4</v>
      </c>
      <c r="D24" s="74">
        <v>1.31E-3</v>
      </c>
      <c r="E24" s="74">
        <v>2.48E-3</v>
      </c>
      <c r="F24" s="74">
        <v>5.2700000000000004E-3</v>
      </c>
      <c r="G24" s="74">
        <v>7.9500000000000005E-3</v>
      </c>
      <c r="H24" s="74">
        <v>1.4999999999999999E-2</v>
      </c>
      <c r="I24" s="74">
        <v>3.0099999999999998E-2</v>
      </c>
      <c r="J24" s="74">
        <v>4.6399999999999997E-2</v>
      </c>
      <c r="K24" s="74">
        <v>6.8099999999999994E-2</v>
      </c>
      <c r="L24" s="74">
        <v>9.4100000000000003E-2</v>
      </c>
      <c r="M24" s="74">
        <v>0.16600000000000001</v>
      </c>
      <c r="N24" s="74">
        <v>0.26600000000000001</v>
      </c>
      <c r="P24" s="75">
        <v>0.4</v>
      </c>
      <c r="Q24" s="76">
        <v>0.4</v>
      </c>
      <c r="R24" s="76">
        <v>0.6</v>
      </c>
      <c r="S24" s="76">
        <v>1.2</v>
      </c>
      <c r="T24" s="76">
        <v>1.2</v>
      </c>
      <c r="U24" s="76">
        <v>1.5</v>
      </c>
      <c r="V24" s="76">
        <v>2</v>
      </c>
      <c r="W24" s="76">
        <v>2.9</v>
      </c>
      <c r="X24" s="76">
        <v>3.6</v>
      </c>
      <c r="Y24" s="76">
        <v>4.3</v>
      </c>
      <c r="Z24" s="76">
        <v>5</v>
      </c>
      <c r="AA24" s="76">
        <v>6.7</v>
      </c>
      <c r="AB24" s="76">
        <v>8.4</v>
      </c>
    </row>
    <row r="25" spans="1:28" x14ac:dyDescent="0.2">
      <c r="A25" s="66">
        <v>8.5</v>
      </c>
      <c r="B25" s="72">
        <v>3.4099999999999999E-4</v>
      </c>
      <c r="C25" s="74">
        <v>6.0300000000000002E-4</v>
      </c>
      <c r="D25" s="74">
        <v>1.3500000000000001E-3</v>
      </c>
      <c r="E25" s="74">
        <v>2.5699999999999998E-3</v>
      </c>
      <c r="F25" s="74">
        <v>5.45E-3</v>
      </c>
      <c r="G25" s="74">
        <v>8.2299999999999995E-3</v>
      </c>
      <c r="H25" s="74">
        <v>1.55E-2</v>
      </c>
      <c r="I25" s="74">
        <v>3.1199999999999999E-2</v>
      </c>
      <c r="J25" s="74">
        <v>4.8000000000000001E-2</v>
      </c>
      <c r="K25" s="74">
        <v>7.0400000000000004E-2</v>
      </c>
      <c r="L25" s="74">
        <v>9.7199999999999995E-2</v>
      </c>
      <c r="M25" s="74">
        <v>0.17100000000000001</v>
      </c>
      <c r="N25" s="74">
        <v>0.27500000000000002</v>
      </c>
      <c r="P25" s="75">
        <v>0.4</v>
      </c>
      <c r="Q25" s="76">
        <v>0.4</v>
      </c>
      <c r="R25" s="76">
        <v>0.6</v>
      </c>
      <c r="S25" s="76">
        <v>1.2</v>
      </c>
      <c r="T25" s="76">
        <v>1.2</v>
      </c>
      <c r="U25" s="76">
        <v>1.5</v>
      </c>
      <c r="V25" s="76">
        <v>2</v>
      </c>
      <c r="W25" s="76">
        <v>2.9</v>
      </c>
      <c r="X25" s="76">
        <v>3.6</v>
      </c>
      <c r="Y25" s="76">
        <v>4.3</v>
      </c>
      <c r="Z25" s="76">
        <v>5.0999999999999996</v>
      </c>
      <c r="AA25" s="76">
        <v>6.7</v>
      </c>
      <c r="AB25" s="76">
        <v>8.5</v>
      </c>
    </row>
    <row r="26" spans="1:28" x14ac:dyDescent="0.2">
      <c r="A26" s="66">
        <v>9</v>
      </c>
      <c r="B26" s="72">
        <v>3.4699999999999998E-4</v>
      </c>
      <c r="C26" s="74">
        <v>6.2399999999999999E-4</v>
      </c>
      <c r="D26" s="74">
        <v>1.4E-3</v>
      </c>
      <c r="E26" s="74">
        <v>2.65E-3</v>
      </c>
      <c r="F26" s="74">
        <v>5.6299999999999996E-3</v>
      </c>
      <c r="G26" s="74">
        <v>8.4899999999999993E-3</v>
      </c>
      <c r="H26" s="74">
        <v>1.6E-2</v>
      </c>
      <c r="I26" s="74">
        <v>3.2199999999999999E-2</v>
      </c>
      <c r="J26" s="74">
        <v>4.9500000000000002E-2</v>
      </c>
      <c r="K26" s="74">
        <v>7.2599999999999998E-2</v>
      </c>
      <c r="L26" s="74">
        <v>0.1</v>
      </c>
      <c r="M26" s="74">
        <v>0.17599999999999999</v>
      </c>
      <c r="N26" s="74">
        <v>0.28399999999999997</v>
      </c>
      <c r="P26" s="75">
        <v>0.4</v>
      </c>
      <c r="Q26" s="76">
        <v>0.4</v>
      </c>
      <c r="R26" s="76">
        <v>0.6</v>
      </c>
      <c r="S26" s="76">
        <v>1.2</v>
      </c>
      <c r="T26" s="76">
        <v>1.2</v>
      </c>
      <c r="U26" s="76">
        <v>1.5</v>
      </c>
      <c r="V26" s="76">
        <v>2.1</v>
      </c>
      <c r="W26" s="76">
        <v>2.9</v>
      </c>
      <c r="X26" s="76">
        <v>3.6</v>
      </c>
      <c r="Y26" s="76">
        <v>4.3</v>
      </c>
      <c r="Z26" s="76">
        <v>5.0999999999999996</v>
      </c>
      <c r="AA26" s="76">
        <v>6.7</v>
      </c>
      <c r="AB26" s="76">
        <v>8.5</v>
      </c>
    </row>
    <row r="27" spans="1:28" x14ac:dyDescent="0.2">
      <c r="A27" s="66">
        <v>9.5</v>
      </c>
      <c r="B27" s="72">
        <v>3.5300000000000002E-4</v>
      </c>
      <c r="C27" s="74">
        <v>6.4300000000000002E-4</v>
      </c>
      <c r="D27" s="74">
        <v>1.4400000000000001E-3</v>
      </c>
      <c r="E27" s="74">
        <v>2.7399999999999998E-3</v>
      </c>
      <c r="F27" s="74">
        <v>5.7999999999999996E-3</v>
      </c>
      <c r="G27" s="74">
        <v>8.7500000000000008E-3</v>
      </c>
      <c r="H27" s="74">
        <v>1.6500000000000001E-2</v>
      </c>
      <c r="I27" s="74">
        <v>3.3099999999999997E-2</v>
      </c>
      <c r="J27" s="74">
        <v>5.0999999999999997E-2</v>
      </c>
      <c r="K27" s="74">
        <v>7.4800000000000005E-2</v>
      </c>
      <c r="L27" s="74">
        <v>0.10299999999999999</v>
      </c>
      <c r="M27" s="74">
        <v>0.182</v>
      </c>
      <c r="N27" s="74">
        <v>0.29199999999999998</v>
      </c>
      <c r="P27" s="75">
        <v>0.4</v>
      </c>
      <c r="Q27" s="76">
        <v>0.4</v>
      </c>
      <c r="R27" s="76">
        <v>0.6</v>
      </c>
      <c r="S27" s="76">
        <v>1.2</v>
      </c>
      <c r="T27" s="76">
        <v>1.2</v>
      </c>
      <c r="U27" s="76">
        <v>1.5</v>
      </c>
      <c r="V27" s="76">
        <v>2.1</v>
      </c>
      <c r="W27" s="76">
        <v>2.9</v>
      </c>
      <c r="X27" s="76">
        <v>3.6</v>
      </c>
      <c r="Y27" s="76">
        <v>4.4000000000000004</v>
      </c>
      <c r="Z27" s="76">
        <v>5.0999999999999996</v>
      </c>
      <c r="AA27" s="76">
        <v>6.8</v>
      </c>
      <c r="AB27" s="76">
        <v>8.5</v>
      </c>
    </row>
    <row r="28" spans="1:28" x14ac:dyDescent="0.2">
      <c r="A28" s="66">
        <v>10</v>
      </c>
      <c r="B28" s="72">
        <v>3.59E-4</v>
      </c>
      <c r="C28" s="74">
        <v>6.6299999999999996E-4</v>
      </c>
      <c r="D28" s="74">
        <v>1.49E-3</v>
      </c>
      <c r="E28" s="74">
        <v>2.82E-3</v>
      </c>
      <c r="F28" s="74">
        <v>5.9699999999999996E-3</v>
      </c>
      <c r="G28" s="74">
        <v>8.9999999999999993E-3</v>
      </c>
      <c r="H28" s="74">
        <v>1.7000000000000001E-2</v>
      </c>
      <c r="I28" s="74">
        <v>3.4099999999999998E-2</v>
      </c>
      <c r="J28" s="74">
        <v>5.2400000000000002E-2</v>
      </c>
      <c r="K28" s="74">
        <v>7.6899999999999996E-2</v>
      </c>
      <c r="L28" s="74">
        <v>0.106</v>
      </c>
      <c r="M28" s="74">
        <v>0.187</v>
      </c>
      <c r="N28" s="74">
        <v>0.3</v>
      </c>
      <c r="P28" s="75">
        <v>0.3</v>
      </c>
      <c r="Q28" s="76">
        <v>0.4</v>
      </c>
      <c r="R28" s="76">
        <v>0.6</v>
      </c>
      <c r="S28" s="76">
        <v>1.2</v>
      </c>
      <c r="T28" s="76">
        <v>1.2</v>
      </c>
      <c r="U28" s="76">
        <v>1.5</v>
      </c>
      <c r="V28" s="76">
        <v>2.1</v>
      </c>
      <c r="W28" s="76">
        <v>2.9</v>
      </c>
      <c r="X28" s="76">
        <v>3.6</v>
      </c>
      <c r="Y28" s="76">
        <v>4.4000000000000004</v>
      </c>
      <c r="Z28" s="76">
        <v>5.0999999999999996</v>
      </c>
      <c r="AA28" s="76">
        <v>6.8</v>
      </c>
      <c r="AB28" s="76">
        <v>8.6</v>
      </c>
    </row>
    <row r="29" spans="1:28" x14ac:dyDescent="0.2">
      <c r="A29" s="66">
        <v>12.5</v>
      </c>
      <c r="B29" s="72">
        <v>3.88E-4</v>
      </c>
      <c r="C29" s="74">
        <v>7.5299999999999998E-4</v>
      </c>
      <c r="D29" s="74">
        <v>1.6900000000000001E-3</v>
      </c>
      <c r="E29" s="74">
        <v>3.1900000000000001E-3</v>
      </c>
      <c r="F29" s="74">
        <v>6.7600000000000004E-3</v>
      </c>
      <c r="G29" s="74">
        <v>1.0200000000000001E-2</v>
      </c>
      <c r="H29" s="74">
        <v>1.9199999999999998E-2</v>
      </c>
      <c r="I29" s="74">
        <v>3.85E-2</v>
      </c>
      <c r="J29" s="74">
        <v>5.9200000000000003E-2</v>
      </c>
      <c r="K29" s="74">
        <v>8.6800000000000002E-2</v>
      </c>
      <c r="L29" s="74">
        <v>0.12</v>
      </c>
      <c r="M29" s="74">
        <v>0.21</v>
      </c>
      <c r="N29" s="74">
        <v>0.33800000000000002</v>
      </c>
      <c r="P29" s="75">
        <v>0.3</v>
      </c>
      <c r="Q29" s="76">
        <v>0.4</v>
      </c>
      <c r="R29" s="76">
        <v>0.6</v>
      </c>
      <c r="S29" s="76">
        <v>1.2</v>
      </c>
      <c r="T29" s="76">
        <v>1.2</v>
      </c>
      <c r="U29" s="76">
        <v>1.5</v>
      </c>
      <c r="V29" s="76">
        <v>2.1</v>
      </c>
      <c r="W29" s="76">
        <v>3</v>
      </c>
      <c r="X29" s="76">
        <v>3.7</v>
      </c>
      <c r="Y29" s="76">
        <v>4.5</v>
      </c>
      <c r="Z29" s="76">
        <v>5.2</v>
      </c>
      <c r="AA29" s="76">
        <v>6.9</v>
      </c>
      <c r="AB29" s="76">
        <v>8.6999999999999993</v>
      </c>
    </row>
    <row r="30" spans="1:28" x14ac:dyDescent="0.2">
      <c r="A30" s="66">
        <v>15</v>
      </c>
      <c r="B30" s="72">
        <v>4.1800000000000002E-4</v>
      </c>
      <c r="C30" s="74">
        <v>8.3600000000000005E-4</v>
      </c>
      <c r="D30" s="74">
        <v>1.8699999999999999E-3</v>
      </c>
      <c r="E30" s="74">
        <v>3.5400000000000002E-3</v>
      </c>
      <c r="F30" s="74">
        <v>7.4799999999999997E-3</v>
      </c>
      <c r="G30" s="74">
        <v>1.1299999999999999E-2</v>
      </c>
      <c r="H30" s="74">
        <v>2.12E-2</v>
      </c>
      <c r="I30" s="74">
        <v>4.2500000000000003E-2</v>
      </c>
      <c r="J30" s="74">
        <v>6.5299999999999997E-2</v>
      </c>
      <c r="K30" s="74">
        <v>9.5699999999999993E-2</v>
      </c>
      <c r="L30" s="74">
        <v>0.13200000000000001</v>
      </c>
      <c r="M30" s="74">
        <v>0.23200000000000001</v>
      </c>
      <c r="N30" s="74">
        <v>0.373</v>
      </c>
      <c r="P30" s="75">
        <v>0.3</v>
      </c>
      <c r="Q30" s="76">
        <v>0.4</v>
      </c>
      <c r="R30" s="76">
        <v>0.6</v>
      </c>
      <c r="S30" s="76">
        <v>1.3</v>
      </c>
      <c r="T30" s="76">
        <v>1.3</v>
      </c>
      <c r="U30" s="76">
        <v>1.6</v>
      </c>
      <c r="V30" s="76">
        <v>2.1</v>
      </c>
      <c r="W30" s="76">
        <v>3</v>
      </c>
      <c r="X30" s="76">
        <v>3.7</v>
      </c>
      <c r="Y30" s="76">
        <v>4.5</v>
      </c>
      <c r="Z30" s="76">
        <v>5.3</v>
      </c>
      <c r="AA30" s="76">
        <v>7</v>
      </c>
      <c r="AB30" s="76">
        <v>8.8000000000000007</v>
      </c>
    </row>
    <row r="31" spans="1:28" x14ac:dyDescent="0.2">
      <c r="A31" s="66">
        <v>17.5</v>
      </c>
      <c r="B31" s="72">
        <v>4.4799999999999999E-4</v>
      </c>
      <c r="C31" s="74">
        <v>9.1200000000000005E-4</v>
      </c>
      <c r="D31" s="74">
        <v>2.0400000000000001E-3</v>
      </c>
      <c r="E31" s="74">
        <v>3.8500000000000001E-3</v>
      </c>
      <c r="F31" s="74">
        <v>8.1399999999999997E-3</v>
      </c>
      <c r="G31" s="74">
        <v>1.23E-2</v>
      </c>
      <c r="H31" s="74">
        <v>2.3099999999999999E-2</v>
      </c>
      <c r="I31" s="74">
        <v>4.6199999999999998E-2</v>
      </c>
      <c r="J31" s="74">
        <v>7.0999999999999994E-2</v>
      </c>
      <c r="K31" s="74">
        <v>0.104</v>
      </c>
      <c r="L31" s="74">
        <v>0.14299999999999999</v>
      </c>
      <c r="M31" s="74">
        <v>0.252</v>
      </c>
      <c r="N31" s="74">
        <v>0.40400000000000003</v>
      </c>
      <c r="P31" s="75">
        <v>0.3</v>
      </c>
      <c r="Q31" s="76">
        <v>0.4</v>
      </c>
      <c r="R31" s="76">
        <v>0.7</v>
      </c>
      <c r="S31" s="76">
        <v>1.3</v>
      </c>
      <c r="T31" s="76">
        <v>1.3</v>
      </c>
      <c r="U31" s="76">
        <v>1.6</v>
      </c>
      <c r="V31" s="76">
        <v>2.2000000000000002</v>
      </c>
      <c r="W31" s="76">
        <v>3.1</v>
      </c>
      <c r="X31" s="76">
        <v>3.8</v>
      </c>
      <c r="Y31" s="76">
        <v>4.5999999999999996</v>
      </c>
      <c r="Z31" s="76">
        <v>5.4</v>
      </c>
      <c r="AA31" s="76">
        <v>7.1</v>
      </c>
      <c r="AB31" s="76">
        <v>8.9</v>
      </c>
    </row>
    <row r="32" spans="1:28" x14ac:dyDescent="0.2">
      <c r="A32" s="66">
        <v>20</v>
      </c>
      <c r="B32" s="72">
        <v>4.8000000000000001E-4</v>
      </c>
      <c r="C32" s="74">
        <v>9.8400000000000007E-4</v>
      </c>
      <c r="D32" s="74">
        <v>2.2000000000000001E-3</v>
      </c>
      <c r="E32" s="74">
        <v>4.15E-3</v>
      </c>
      <c r="F32" s="74">
        <v>8.77E-3</v>
      </c>
      <c r="G32" s="74">
        <v>1.32E-2</v>
      </c>
      <c r="H32" s="74">
        <v>2.4799999999999999E-2</v>
      </c>
      <c r="I32" s="74">
        <v>4.9599999999999998E-2</v>
      </c>
      <c r="J32" s="74">
        <v>7.6300000000000007E-2</v>
      </c>
      <c r="K32" s="74">
        <v>0.112</v>
      </c>
      <c r="L32" s="74">
        <v>0.154</v>
      </c>
      <c r="M32" s="74">
        <v>0.27</v>
      </c>
      <c r="N32" s="74">
        <v>0.434</v>
      </c>
      <c r="P32" s="75">
        <v>0.3</v>
      </c>
      <c r="Q32" s="76">
        <v>0.4</v>
      </c>
      <c r="R32" s="76">
        <v>0.7</v>
      </c>
      <c r="S32" s="76">
        <v>1.3</v>
      </c>
      <c r="T32" s="76">
        <v>1.3</v>
      </c>
      <c r="U32" s="76">
        <v>1.6</v>
      </c>
      <c r="V32" s="76">
        <v>2.2000000000000002</v>
      </c>
      <c r="W32" s="76">
        <v>3.1</v>
      </c>
      <c r="X32" s="76">
        <v>3.8</v>
      </c>
      <c r="Y32" s="76">
        <v>4.5999999999999996</v>
      </c>
      <c r="Z32" s="76">
        <v>5.4</v>
      </c>
      <c r="AA32" s="76">
        <v>7.1</v>
      </c>
      <c r="AB32" s="76">
        <v>9</v>
      </c>
    </row>
    <row r="33" spans="1:28" x14ac:dyDescent="0.2">
      <c r="A33" s="66">
        <v>22.5</v>
      </c>
      <c r="B33" s="72">
        <v>5.1400000000000003E-4</v>
      </c>
      <c r="C33" s="74">
        <v>1.0499999999999999E-3</v>
      </c>
      <c r="D33" s="74">
        <v>2.3500000000000001E-3</v>
      </c>
      <c r="E33" s="74">
        <v>4.4299999999999999E-3</v>
      </c>
      <c r="F33" s="74">
        <v>9.3500000000000007E-3</v>
      </c>
      <c r="G33" s="74">
        <v>1.41E-2</v>
      </c>
      <c r="H33" s="74">
        <v>2.64E-2</v>
      </c>
      <c r="I33" s="74">
        <v>5.2900000000000003E-2</v>
      </c>
      <c r="J33" s="74">
        <v>8.1199999999999994E-2</v>
      </c>
      <c r="K33" s="74">
        <v>0.11899999999999999</v>
      </c>
      <c r="L33" s="74">
        <v>0.16400000000000001</v>
      </c>
      <c r="M33" s="74">
        <v>0.28799999999999998</v>
      </c>
      <c r="N33" s="74">
        <v>0.46200000000000002</v>
      </c>
      <c r="P33" s="75">
        <v>0.3</v>
      </c>
      <c r="Q33" s="76">
        <v>0.5</v>
      </c>
      <c r="R33" s="76">
        <v>0.7</v>
      </c>
      <c r="S33" s="76">
        <v>1.3</v>
      </c>
      <c r="T33" s="76">
        <v>1.3</v>
      </c>
      <c r="U33" s="76">
        <v>1.6</v>
      </c>
      <c r="V33" s="76">
        <v>2.2000000000000002</v>
      </c>
      <c r="W33" s="76">
        <v>3.1</v>
      </c>
      <c r="X33" s="76">
        <v>3.9</v>
      </c>
      <c r="Y33" s="76">
        <v>4.7</v>
      </c>
      <c r="Z33" s="76">
        <v>5.4</v>
      </c>
      <c r="AA33" s="76">
        <v>7.2</v>
      </c>
      <c r="AB33" s="76">
        <v>9</v>
      </c>
    </row>
    <row r="34" spans="1:28" x14ac:dyDescent="0.2">
      <c r="A34" s="66">
        <v>25</v>
      </c>
      <c r="B34" s="72">
        <v>5.4500000000000002E-4</v>
      </c>
      <c r="C34" s="74">
        <v>1.1199999999999999E-3</v>
      </c>
      <c r="D34" s="74">
        <v>2.49E-3</v>
      </c>
      <c r="E34" s="74">
        <v>4.7000000000000002E-3</v>
      </c>
      <c r="F34" s="74">
        <v>9.9100000000000004E-3</v>
      </c>
      <c r="G34" s="74">
        <v>1.49E-2</v>
      </c>
      <c r="H34" s="74">
        <v>2.8000000000000001E-2</v>
      </c>
      <c r="I34" s="74">
        <v>5.6000000000000001E-2</v>
      </c>
      <c r="J34" s="74">
        <v>8.5999999999999993E-2</v>
      </c>
      <c r="K34" s="74">
        <v>0.126</v>
      </c>
      <c r="L34" s="74">
        <v>0.17299999999999999</v>
      </c>
      <c r="M34" s="74">
        <v>0.30399999999999999</v>
      </c>
      <c r="N34" s="74">
        <v>0.48799999999999999</v>
      </c>
      <c r="P34" s="75">
        <v>0.3</v>
      </c>
      <c r="Q34" s="76">
        <v>0.5</v>
      </c>
      <c r="R34" s="76">
        <v>0.7</v>
      </c>
      <c r="S34" s="76">
        <v>1.3</v>
      </c>
      <c r="T34" s="76">
        <v>1.3</v>
      </c>
      <c r="U34" s="76">
        <v>1.6</v>
      </c>
      <c r="V34" s="76">
        <v>2.2000000000000002</v>
      </c>
      <c r="W34" s="76">
        <v>3.2</v>
      </c>
      <c r="X34" s="76">
        <v>3.9</v>
      </c>
      <c r="Y34" s="76">
        <v>4.7</v>
      </c>
      <c r="Z34" s="76">
        <v>5.5</v>
      </c>
      <c r="AA34" s="76">
        <v>7.2</v>
      </c>
      <c r="AB34" s="76">
        <v>9.1</v>
      </c>
    </row>
    <row r="39" spans="1:28" x14ac:dyDescent="0.2">
      <c r="H39" s="81"/>
    </row>
    <row r="44" spans="1:28" x14ac:dyDescent="0.2">
      <c r="G44" s="82"/>
      <c r="Q44" s="83"/>
    </row>
    <row r="45" spans="1:28" x14ac:dyDescent="0.2">
      <c r="Q45" s="83"/>
    </row>
    <row r="46" spans="1:28" x14ac:dyDescent="0.2">
      <c r="Q46" s="83"/>
    </row>
    <row r="47" spans="1:28" x14ac:dyDescent="0.2">
      <c r="Q47" s="83"/>
    </row>
    <row r="48" spans="1:28" x14ac:dyDescent="0.2">
      <c r="Q48" s="83"/>
    </row>
    <row r="49" spans="17:17" x14ac:dyDescent="0.2">
      <c r="Q49" s="83"/>
    </row>
    <row r="50" spans="17:17" x14ac:dyDescent="0.2">
      <c r="Q50" s="83"/>
    </row>
  </sheetData>
  <mergeCells count="1">
    <mergeCell ref="A1:XFD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Settings_ReadMe</vt:lpstr>
      <vt:lpstr>Pipe Section</vt:lpstr>
      <vt:lpstr>Schematic Sketch</vt:lpstr>
      <vt:lpstr>CIBSE Table</vt:lpstr>
      <vt:lpstr>DU_WC</vt:lpstr>
      <vt:lpstr>DU_WHB</vt:lpstr>
      <vt:lpstr>'Pipe Section'!Print_Area</vt:lpstr>
    </vt:vector>
  </TitlesOfParts>
  <Company>BDP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rdgs42871</dc:creator>
  <cp:lastModifiedBy>Rich</cp:lastModifiedBy>
  <cp:lastPrinted>2014-12-17T08:56:29Z</cp:lastPrinted>
  <dcterms:created xsi:type="dcterms:W3CDTF">2014-12-01T11:29:59Z</dcterms:created>
  <dcterms:modified xsi:type="dcterms:W3CDTF">2016-06-03T22:08:41Z</dcterms:modified>
</cp:coreProperties>
</file>